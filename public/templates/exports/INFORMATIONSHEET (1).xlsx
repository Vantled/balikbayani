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D46D4D-92C4-4F5F-B9B8-A48C120CF13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MARY" sheetId="3" r:id="rId1"/>
    <sheet name="DATE" sheetId="161" r:id="rId2"/>
  </sheets>
  <definedNames>
    <definedName name="_xlnm.Print_Area" localSheetId="0">SUMMARY!$A$1:$AF$32</definedName>
    <definedName name="_xlnm.Print_Titles" localSheetId="1">DATE!$12:$13</definedName>
    <definedName name="_xlnm.Print_Titles" localSheetId="0">SUMMARY!$A:$A,SUMMARY!$1:$3</definedName>
  </definedNames>
  <calcPr calcId="191029"/>
</workbook>
</file>

<file path=xl/calcChain.xml><?xml version="1.0" encoding="utf-8"?>
<calcChain xmlns="http://schemas.openxmlformats.org/spreadsheetml/2006/main">
  <c r="S143" i="161" l="1"/>
  <c r="S142" i="161"/>
  <c r="S141" i="161"/>
  <c r="S140" i="161"/>
  <c r="S139" i="161"/>
  <c r="S138" i="161"/>
  <c r="S137" i="161"/>
  <c r="S136" i="161"/>
  <c r="S135" i="161"/>
  <c r="D10" i="161"/>
  <c r="D9" i="161"/>
  <c r="A9" i="161"/>
  <c r="D8" i="161"/>
  <c r="D7" i="161"/>
  <c r="K6" i="161"/>
  <c r="D6" i="161"/>
  <c r="A6" i="161"/>
  <c r="D5" i="161"/>
  <c r="K4" i="161"/>
  <c r="H4" i="161"/>
  <c r="D4" i="161"/>
  <c r="K3" i="161"/>
  <c r="H3" i="161"/>
  <c r="D3" i="161"/>
  <c r="A3" i="161"/>
  <c r="K2" i="161"/>
  <c r="H2" i="161"/>
  <c r="D2" i="161"/>
  <c r="H6" i="161" l="1"/>
  <c r="H7" i="161"/>
  <c r="D3" i="3" l="1"/>
  <c r="E3" i="3" s="1"/>
  <c r="C19" i="3"/>
  <c r="C30" i="3"/>
  <c r="C4" i="3"/>
  <c r="C16" i="3"/>
  <c r="C24" i="3"/>
  <c r="C9" i="3"/>
  <c r="C12" i="3"/>
  <c r="C29" i="3"/>
  <c r="C25" i="3"/>
  <c r="C6" i="3"/>
  <c r="C17" i="3"/>
  <c r="C20" i="3"/>
  <c r="C32" i="3"/>
  <c r="C14" i="3"/>
  <c r="C8" i="3"/>
  <c r="C23" i="3"/>
  <c r="E19" i="3"/>
  <c r="C18" i="3"/>
  <c r="C28" i="3"/>
  <c r="C5" i="3"/>
  <c r="C15" i="3"/>
  <c r="C13" i="3"/>
  <c r="F3" i="3" l="1"/>
  <c r="D15" i="3"/>
  <c r="E15" i="3"/>
  <c r="E8" i="3"/>
  <c r="E6" i="3"/>
  <c r="D17" i="3"/>
  <c r="E24" i="3"/>
  <c r="E25" i="3"/>
  <c r="E18" i="3"/>
  <c r="D29" i="3"/>
  <c r="D6" i="3"/>
  <c r="D30" i="3"/>
  <c r="D19" i="3"/>
  <c r="E28" i="3"/>
  <c r="D23" i="3"/>
  <c r="E16" i="3"/>
  <c r="D9" i="3"/>
  <c r="E13" i="3"/>
  <c r="D8" i="3"/>
  <c r="D14" i="3"/>
  <c r="D5" i="3"/>
  <c r="D28" i="3"/>
  <c r="E23" i="3"/>
  <c r="E17" i="3"/>
  <c r="D24" i="3"/>
  <c r="E20" i="3"/>
  <c r="D25" i="3"/>
  <c r="D4" i="3"/>
  <c r="E29" i="3"/>
  <c r="E30" i="3"/>
  <c r="D12" i="3"/>
  <c r="E14" i="3"/>
  <c r="D20" i="3"/>
  <c r="E32" i="3"/>
  <c r="D32" i="3"/>
  <c r="D16" i="3"/>
  <c r="E12" i="3"/>
  <c r="E4" i="3"/>
  <c r="E9" i="3"/>
  <c r="E5" i="3"/>
  <c r="D13" i="3"/>
  <c r="D18" i="3"/>
  <c r="G3" i="3" l="1"/>
  <c r="F4" i="3"/>
  <c r="F13" i="3"/>
  <c r="F20" i="3"/>
  <c r="F6" i="3"/>
  <c r="F19" i="3"/>
  <c r="F16" i="3"/>
  <c r="F25" i="3"/>
  <c r="F28" i="3"/>
  <c r="F32" i="3"/>
  <c r="F17" i="3"/>
  <c r="F8" i="3"/>
  <c r="F30" i="3"/>
  <c r="F29" i="3"/>
  <c r="F24" i="3"/>
  <c r="F5" i="3"/>
  <c r="F14" i="3"/>
  <c r="F9" i="3"/>
  <c r="F23" i="3"/>
  <c r="F15" i="3"/>
  <c r="F12" i="3"/>
  <c r="F18" i="3"/>
  <c r="H3" i="3" l="1"/>
  <c r="G18" i="3"/>
  <c r="G14" i="3"/>
  <c r="G6" i="3"/>
  <c r="G30" i="3"/>
  <c r="G5" i="3"/>
  <c r="G28" i="3"/>
  <c r="G20" i="3"/>
  <c r="G9" i="3"/>
  <c r="G12" i="3"/>
  <c r="G25" i="3"/>
  <c r="G13" i="3"/>
  <c r="G19" i="3"/>
  <c r="G24" i="3"/>
  <c r="G4" i="3"/>
  <c r="G23" i="3"/>
  <c r="G16" i="3"/>
  <c r="G29" i="3"/>
  <c r="G32" i="3"/>
  <c r="G8" i="3"/>
  <c r="G17" i="3"/>
  <c r="G15" i="3"/>
  <c r="I3" i="3" l="1"/>
  <c r="H25" i="3"/>
  <c r="H20" i="3"/>
  <c r="H5" i="3"/>
  <c r="H30" i="3"/>
  <c r="H16" i="3"/>
  <c r="H24" i="3"/>
  <c r="H6" i="3"/>
  <c r="H4" i="3"/>
  <c r="H8" i="3"/>
  <c r="H23" i="3"/>
  <c r="H18" i="3"/>
  <c r="H12" i="3"/>
  <c r="H29" i="3"/>
  <c r="H17" i="3"/>
  <c r="H14" i="3"/>
  <c r="H19" i="3"/>
  <c r="H9" i="3"/>
  <c r="H13" i="3"/>
  <c r="H28" i="3"/>
  <c r="H32" i="3"/>
  <c r="H15" i="3"/>
  <c r="J3" i="3" l="1"/>
  <c r="I23" i="3"/>
  <c r="I5" i="3"/>
  <c r="I25" i="3"/>
  <c r="I9" i="3"/>
  <c r="I32" i="3"/>
  <c r="I12" i="3"/>
  <c r="I28" i="3"/>
  <c r="I17" i="3"/>
  <c r="I19" i="3"/>
  <c r="I24" i="3"/>
  <c r="I14" i="3"/>
  <c r="I16" i="3"/>
  <c r="I6" i="3"/>
  <c r="I30" i="3"/>
  <c r="I8" i="3"/>
  <c r="I13" i="3"/>
  <c r="I20" i="3"/>
  <c r="I15" i="3"/>
  <c r="I18" i="3"/>
  <c r="I4" i="3"/>
  <c r="I29" i="3"/>
  <c r="K3" i="3" l="1"/>
  <c r="J8" i="3"/>
  <c r="J32" i="3"/>
  <c r="J16" i="3"/>
  <c r="J24" i="3"/>
  <c r="J25" i="3"/>
  <c r="J18" i="3"/>
  <c r="J14" i="3"/>
  <c r="J17" i="3"/>
  <c r="J9" i="3"/>
  <c r="J5" i="3"/>
  <c r="J29" i="3"/>
  <c r="J20" i="3"/>
  <c r="J12" i="3"/>
  <c r="J4" i="3"/>
  <c r="J28" i="3"/>
  <c r="J13" i="3"/>
  <c r="J30" i="3"/>
  <c r="J23" i="3"/>
  <c r="J15" i="3"/>
  <c r="J6" i="3"/>
  <c r="J19" i="3"/>
  <c r="L3" i="3" l="1"/>
  <c r="K20" i="3"/>
  <c r="K9" i="3"/>
  <c r="K25" i="3"/>
  <c r="K13" i="3"/>
  <c r="K28" i="3"/>
  <c r="K8" i="3"/>
  <c r="K30" i="3"/>
  <c r="K12" i="3"/>
  <c r="K4" i="3"/>
  <c r="K29" i="3"/>
  <c r="K32" i="3"/>
  <c r="K6" i="3"/>
  <c r="K19" i="3"/>
  <c r="K23" i="3"/>
  <c r="K17" i="3"/>
  <c r="K24" i="3"/>
  <c r="K5" i="3"/>
  <c r="K16" i="3"/>
  <c r="K18" i="3"/>
  <c r="K14" i="3"/>
  <c r="K15" i="3"/>
  <c r="M3" i="3" l="1"/>
  <c r="L29" i="3"/>
  <c r="L13" i="3"/>
  <c r="L24" i="3"/>
  <c r="L32" i="3"/>
  <c r="L30" i="3"/>
  <c r="L12" i="3"/>
  <c r="L14" i="3"/>
  <c r="L17" i="3"/>
  <c r="L9" i="3"/>
  <c r="L20" i="3"/>
  <c r="L19" i="3"/>
  <c r="L18" i="3"/>
  <c r="L23" i="3"/>
  <c r="L8" i="3"/>
  <c r="L28" i="3"/>
  <c r="L25" i="3"/>
  <c r="L4" i="3"/>
  <c r="L5" i="3"/>
  <c r="L6" i="3"/>
  <c r="L16" i="3"/>
  <c r="L15" i="3"/>
  <c r="N3" i="3" l="1"/>
  <c r="M29" i="3"/>
  <c r="M14" i="3"/>
  <c r="M19" i="3"/>
  <c r="M30" i="3"/>
  <c r="M25" i="3"/>
  <c r="M8" i="3"/>
  <c r="M15" i="3"/>
  <c r="M5" i="3"/>
  <c r="M4" i="3"/>
  <c r="M17" i="3"/>
  <c r="M32" i="3"/>
  <c r="M9" i="3"/>
  <c r="M20" i="3"/>
  <c r="M24" i="3"/>
  <c r="M28" i="3"/>
  <c r="M12" i="3"/>
  <c r="M23" i="3"/>
  <c r="M16" i="3"/>
  <c r="M13" i="3"/>
  <c r="M18" i="3"/>
  <c r="M6" i="3"/>
  <c r="O3" i="3" l="1"/>
  <c r="N9" i="3"/>
  <c r="N19" i="3"/>
  <c r="N23" i="3"/>
  <c r="N8" i="3"/>
  <c r="N32" i="3"/>
  <c r="N16" i="3"/>
  <c r="N6" i="3"/>
  <c r="N25" i="3"/>
  <c r="N13" i="3"/>
  <c r="N18" i="3"/>
  <c r="N4" i="3"/>
  <c r="N15" i="3"/>
  <c r="N29" i="3"/>
  <c r="N20" i="3"/>
  <c r="N17" i="3"/>
  <c r="N14" i="3"/>
  <c r="N12" i="3"/>
  <c r="N30" i="3"/>
  <c r="N28" i="3"/>
  <c r="N5" i="3"/>
  <c r="N24" i="3"/>
  <c r="P3" i="3" l="1"/>
  <c r="O12" i="3"/>
  <c r="O4" i="3"/>
  <c r="O30" i="3"/>
  <c r="O8" i="3"/>
  <c r="O18" i="3"/>
  <c r="O23" i="3"/>
  <c r="O14" i="3"/>
  <c r="O32" i="3"/>
  <c r="O20" i="3"/>
  <c r="O15" i="3"/>
  <c r="O25" i="3"/>
  <c r="O17" i="3"/>
  <c r="O16" i="3"/>
  <c r="O13" i="3"/>
  <c r="O9" i="3"/>
  <c r="O29" i="3"/>
  <c r="O5" i="3"/>
  <c r="O28" i="3"/>
  <c r="O19" i="3"/>
  <c r="O24" i="3"/>
  <c r="O6" i="3"/>
  <c r="Q3" i="3" l="1"/>
  <c r="P17" i="3"/>
  <c r="P9" i="3"/>
  <c r="P29" i="3"/>
  <c r="P5" i="3"/>
  <c r="P25" i="3"/>
  <c r="P19" i="3"/>
  <c r="P6" i="3"/>
  <c r="P23" i="3"/>
  <c r="P28" i="3"/>
  <c r="P20" i="3"/>
  <c r="P12" i="3"/>
  <c r="P32" i="3"/>
  <c r="P13" i="3"/>
  <c r="P24" i="3"/>
  <c r="P8" i="3"/>
  <c r="P15" i="3"/>
  <c r="P4" i="3"/>
  <c r="P18" i="3"/>
  <c r="P30" i="3"/>
  <c r="P16" i="3"/>
  <c r="P14" i="3"/>
  <c r="R3" i="3" l="1"/>
  <c r="Q13" i="3"/>
  <c r="Q23" i="3"/>
  <c r="Q16" i="3"/>
  <c r="Q18" i="3"/>
  <c r="Q6" i="3"/>
  <c r="Q4" i="3"/>
  <c r="Q32" i="3"/>
  <c r="Q8" i="3"/>
  <c r="Q9" i="3"/>
  <c r="Q14" i="3"/>
  <c r="Q19" i="3"/>
  <c r="Q28" i="3"/>
  <c r="Q25" i="3"/>
  <c r="Q12" i="3"/>
  <c r="Q5" i="3"/>
  <c r="Q29" i="3"/>
  <c r="Q30" i="3"/>
  <c r="Q15" i="3"/>
  <c r="Q24" i="3"/>
  <c r="Q20" i="3"/>
  <c r="Q17" i="3"/>
  <c r="S3" i="3" l="1"/>
  <c r="R13" i="3"/>
  <c r="R32" i="3"/>
  <c r="R12" i="3"/>
  <c r="R8" i="3"/>
  <c r="R9" i="3"/>
  <c r="R29" i="3"/>
  <c r="R15" i="3"/>
  <c r="R28" i="3"/>
  <c r="R19" i="3"/>
  <c r="R5" i="3"/>
  <c r="R17" i="3"/>
  <c r="R23" i="3"/>
  <c r="R20" i="3"/>
  <c r="R4" i="3"/>
  <c r="R16" i="3"/>
  <c r="R6" i="3"/>
  <c r="R30" i="3"/>
  <c r="R14" i="3"/>
  <c r="R24" i="3"/>
  <c r="R18" i="3"/>
  <c r="R25" i="3"/>
  <c r="T3" i="3" l="1"/>
  <c r="S23" i="3"/>
  <c r="S8" i="3"/>
  <c r="S32" i="3"/>
  <c r="S25" i="3"/>
  <c r="S12" i="3"/>
  <c r="S19" i="3"/>
  <c r="S4" i="3"/>
  <c r="S18" i="3"/>
  <c r="S17" i="3"/>
  <c r="S6" i="3"/>
  <c r="S20" i="3"/>
  <c r="S28" i="3"/>
  <c r="S30" i="3"/>
  <c r="S5" i="3"/>
  <c r="S24" i="3"/>
  <c r="S15" i="3"/>
  <c r="S29" i="3"/>
  <c r="S9" i="3"/>
  <c r="S14" i="3"/>
  <c r="S16" i="3"/>
  <c r="S13" i="3"/>
  <c r="U3" i="3" l="1"/>
  <c r="T18" i="3"/>
  <c r="T28" i="3"/>
  <c r="T24" i="3"/>
  <c r="T4" i="3"/>
  <c r="T5" i="3"/>
  <c r="T29" i="3"/>
  <c r="T19" i="3"/>
  <c r="T15" i="3"/>
  <c r="T6" i="3"/>
  <c r="T8" i="3"/>
  <c r="T14" i="3"/>
  <c r="T25" i="3"/>
  <c r="T32" i="3"/>
  <c r="T9" i="3"/>
  <c r="T17" i="3"/>
  <c r="T30" i="3"/>
  <c r="T13" i="3"/>
  <c r="T20" i="3"/>
  <c r="T23" i="3"/>
  <c r="T12" i="3"/>
  <c r="T16" i="3"/>
  <c r="V3" i="3" l="1"/>
  <c r="U24" i="3"/>
  <c r="U15" i="3"/>
  <c r="U9" i="3"/>
  <c r="U4" i="3"/>
  <c r="U12" i="3"/>
  <c r="U17" i="3"/>
  <c r="U29" i="3"/>
  <c r="U13" i="3"/>
  <c r="U20" i="3"/>
  <c r="U8" i="3"/>
  <c r="U19" i="3"/>
  <c r="U5" i="3"/>
  <c r="U28" i="3"/>
  <c r="U16" i="3"/>
  <c r="U23" i="3"/>
  <c r="U32" i="3"/>
  <c r="U30" i="3"/>
  <c r="U6" i="3"/>
  <c r="U18" i="3"/>
  <c r="U14" i="3"/>
  <c r="U25" i="3"/>
  <c r="W3" i="3" l="1"/>
  <c r="V19" i="3"/>
  <c r="V18" i="3"/>
  <c r="V16" i="3"/>
  <c r="V6" i="3"/>
  <c r="V8" i="3"/>
  <c r="V24" i="3"/>
  <c r="V15" i="3"/>
  <c r="V9" i="3"/>
  <c r="V20" i="3"/>
  <c r="V12" i="3"/>
  <c r="V29" i="3"/>
  <c r="V4" i="3"/>
  <c r="V23" i="3"/>
  <c r="V32" i="3"/>
  <c r="V30" i="3"/>
  <c r="V14" i="3"/>
  <c r="V13" i="3"/>
  <c r="V28" i="3"/>
  <c r="V5" i="3"/>
  <c r="V25" i="3"/>
  <c r="V17" i="3"/>
  <c r="X3" i="3" l="1"/>
  <c r="W24" i="3"/>
  <c r="W12" i="3"/>
  <c r="W20" i="3"/>
  <c r="W23" i="3"/>
  <c r="W8" i="3"/>
  <c r="W5" i="3"/>
  <c r="W4" i="3"/>
  <c r="W28" i="3"/>
  <c r="W6" i="3"/>
  <c r="W14" i="3"/>
  <c r="W16" i="3"/>
  <c r="W15" i="3"/>
  <c r="W17" i="3"/>
  <c r="W30" i="3"/>
  <c r="W32" i="3"/>
  <c r="W9" i="3"/>
  <c r="W18" i="3"/>
  <c r="W29" i="3"/>
  <c r="W25" i="3"/>
  <c r="W19" i="3"/>
  <c r="W13" i="3"/>
  <c r="Y3" i="3" l="1"/>
  <c r="X12" i="3"/>
  <c r="X4" i="3"/>
  <c r="X8" i="3"/>
  <c r="X16" i="3"/>
  <c r="X15" i="3"/>
  <c r="X6" i="3"/>
  <c r="X18" i="3"/>
  <c r="X23" i="3"/>
  <c r="X25" i="3"/>
  <c r="X20" i="3"/>
  <c r="X5" i="3"/>
  <c r="X17" i="3"/>
  <c r="X29" i="3"/>
  <c r="X24" i="3"/>
  <c r="X30" i="3"/>
  <c r="X32" i="3"/>
  <c r="X14" i="3"/>
  <c r="X28" i="3"/>
  <c r="X9" i="3"/>
  <c r="X19" i="3"/>
  <c r="X13" i="3"/>
  <c r="Z3" i="3" l="1"/>
  <c r="Y8" i="3"/>
  <c r="Y12" i="3"/>
  <c r="Y9" i="3"/>
  <c r="Y25" i="3"/>
  <c r="Y14" i="3"/>
  <c r="Y5" i="3"/>
  <c r="Y30" i="3"/>
  <c r="Y4" i="3"/>
  <c r="Y18" i="3"/>
  <c r="Y24" i="3"/>
  <c r="Y17" i="3"/>
  <c r="Y23" i="3"/>
  <c r="Y6" i="3"/>
  <c r="Y28" i="3"/>
  <c r="Y13" i="3"/>
  <c r="Y16" i="3"/>
  <c r="Y20" i="3"/>
  <c r="Y32" i="3"/>
  <c r="Y29" i="3"/>
  <c r="Y19" i="3"/>
  <c r="Y15" i="3"/>
  <c r="AA3" i="3" l="1"/>
  <c r="Z9" i="3"/>
  <c r="Z4" i="3"/>
  <c r="Z19" i="3"/>
  <c r="Z18" i="3"/>
  <c r="Z16" i="3"/>
  <c r="Z20" i="3"/>
  <c r="Z32" i="3"/>
  <c r="Z12" i="3"/>
  <c r="Z29" i="3"/>
  <c r="Z23" i="3"/>
  <c r="Z17" i="3"/>
  <c r="Z13" i="3"/>
  <c r="Z25" i="3"/>
  <c r="Z30" i="3"/>
  <c r="Z5" i="3"/>
  <c r="Z14" i="3"/>
  <c r="Z28" i="3"/>
  <c r="Z15" i="3"/>
  <c r="Z8" i="3"/>
  <c r="Z24" i="3"/>
  <c r="Z6" i="3"/>
  <c r="AB3" i="3" l="1"/>
  <c r="AA17" i="3"/>
  <c r="AA12" i="3"/>
  <c r="AA16" i="3"/>
  <c r="AA15" i="3"/>
  <c r="AA30" i="3"/>
  <c r="AA28" i="3"/>
  <c r="AA24" i="3"/>
  <c r="AA5" i="3"/>
  <c r="AA18" i="3"/>
  <c r="AA6" i="3"/>
  <c r="AA13" i="3"/>
  <c r="AA8" i="3"/>
  <c r="AA4" i="3"/>
  <c r="AA20" i="3"/>
  <c r="AA32" i="3"/>
  <c r="AA25" i="3"/>
  <c r="AA23" i="3"/>
  <c r="AA29" i="3"/>
  <c r="AA14" i="3"/>
  <c r="AA9" i="3"/>
  <c r="AA19" i="3"/>
  <c r="AC3" i="3" l="1"/>
  <c r="AB24" i="3"/>
  <c r="AB23" i="3"/>
  <c r="AB8" i="3"/>
  <c r="AB6" i="3"/>
  <c r="AB15" i="3"/>
  <c r="AB25" i="3"/>
  <c r="AB9" i="3"/>
  <c r="AB18" i="3"/>
  <c r="AB19" i="3"/>
  <c r="AB20" i="3"/>
  <c r="AB16" i="3"/>
  <c r="AB32" i="3"/>
  <c r="AB5" i="3"/>
  <c r="AB30" i="3"/>
  <c r="AB13" i="3"/>
  <c r="AB17" i="3"/>
  <c r="AB12" i="3"/>
  <c r="AB4" i="3"/>
  <c r="AB29" i="3"/>
  <c r="AB28" i="3"/>
  <c r="AB14" i="3"/>
  <c r="AD3" i="3" l="1"/>
  <c r="AC25" i="3"/>
  <c r="AC30" i="3"/>
  <c r="AC6" i="3"/>
  <c r="AC20" i="3"/>
  <c r="AC17" i="3"/>
  <c r="AC19" i="3"/>
  <c r="AC13" i="3"/>
  <c r="AC28" i="3"/>
  <c r="AC4" i="3"/>
  <c r="AC12" i="3"/>
  <c r="AC15" i="3"/>
  <c r="AC23" i="3"/>
  <c r="AC29" i="3"/>
  <c r="AC5" i="3"/>
  <c r="AC32" i="3"/>
  <c r="AC24" i="3"/>
  <c r="AC14" i="3"/>
  <c r="AC8" i="3"/>
  <c r="AC16" i="3"/>
  <c r="AC9" i="3"/>
  <c r="AC18" i="3"/>
  <c r="AE3" i="3" l="1"/>
  <c r="AD17" i="3"/>
  <c r="AD18" i="3"/>
  <c r="AD30" i="3"/>
  <c r="AD24" i="3"/>
  <c r="AD28" i="3"/>
  <c r="AD32" i="3"/>
  <c r="AD16" i="3"/>
  <c r="AD25" i="3"/>
  <c r="AD29" i="3"/>
  <c r="AD6" i="3"/>
  <c r="AD9" i="3"/>
  <c r="AD8" i="3"/>
  <c r="AD19" i="3"/>
  <c r="AD23" i="3"/>
  <c r="AD15" i="3"/>
  <c r="AD4" i="3"/>
  <c r="AD12" i="3"/>
  <c r="AD5" i="3"/>
  <c r="AD20" i="3"/>
  <c r="AD13" i="3"/>
  <c r="AD14" i="3"/>
  <c r="AF3" i="3" l="1"/>
  <c r="AE25" i="3"/>
  <c r="AE20" i="3"/>
  <c r="AF14" i="3"/>
  <c r="AF12" i="3"/>
  <c r="AE5" i="3"/>
  <c r="AE9" i="3"/>
  <c r="AF19" i="3"/>
  <c r="AE30" i="3"/>
  <c r="AE13" i="3"/>
  <c r="AE12" i="3"/>
  <c r="AE16" i="3"/>
  <c r="AE15" i="3"/>
  <c r="AE24" i="3"/>
  <c r="AF24" i="3"/>
  <c r="AE8" i="3"/>
  <c r="AF8" i="3"/>
  <c r="AF28" i="3"/>
  <c r="AF20" i="3"/>
  <c r="AE28" i="3"/>
  <c r="AE4" i="3"/>
  <c r="AE32" i="3"/>
  <c r="AE17" i="3"/>
  <c r="AE29" i="3"/>
  <c r="AE6" i="3"/>
  <c r="AE19" i="3"/>
  <c r="AE23" i="3"/>
  <c r="AF23" i="3"/>
  <c r="AF17" i="3"/>
  <c r="AE14" i="3"/>
  <c r="AF4" i="3"/>
  <c r="AE18" i="3"/>
  <c r="AF16" i="3"/>
  <c r="AF29" i="3"/>
  <c r="AF32" i="3" l="1"/>
  <c r="AF13" i="3"/>
  <c r="AF25" i="3"/>
  <c r="AF15" i="3"/>
  <c r="AF6" i="3"/>
  <c r="AF30" i="3"/>
  <c r="AF9" i="3"/>
  <c r="AF5" i="3"/>
  <c r="AF18" i="3"/>
</calcChain>
</file>

<file path=xl/sharedStrings.xml><?xml version="1.0" encoding="utf-8"?>
<sst xmlns="http://schemas.openxmlformats.org/spreadsheetml/2006/main" count="95" uniqueCount="68">
  <si>
    <t>SUMMARY OF RECORDS</t>
  </si>
  <si>
    <t>FOR THE MONTH OF ___</t>
  </si>
  <si>
    <t>TOTAL REQUEST</t>
  </si>
  <si>
    <t>A3</t>
  </si>
  <si>
    <t>MALE</t>
  </si>
  <si>
    <t>A6</t>
  </si>
  <si>
    <t>FEMALE</t>
  </si>
  <si>
    <t>A9</t>
  </si>
  <si>
    <t>HIGHEST PCT</t>
  </si>
  <si>
    <t>H6</t>
  </si>
  <si>
    <t>LOWEST PCT</t>
  </si>
  <si>
    <t>H7</t>
  </si>
  <si>
    <t>PURPOSE</t>
  </si>
  <si>
    <t>EMPLOYMENT</t>
  </si>
  <si>
    <t>D2</t>
  </si>
  <si>
    <t>OWWA</t>
  </si>
  <si>
    <t>D3</t>
  </si>
  <si>
    <t>LEGAL</t>
  </si>
  <si>
    <t>D4</t>
  </si>
  <si>
    <t>LOAN</t>
  </si>
  <si>
    <t>D5</t>
  </si>
  <si>
    <t>VISA</t>
  </si>
  <si>
    <t>D6</t>
  </si>
  <si>
    <t>BM</t>
  </si>
  <si>
    <t>D7</t>
  </si>
  <si>
    <t>RTT</t>
  </si>
  <si>
    <t>D8</t>
  </si>
  <si>
    <t>PHILHEALTH</t>
  </si>
  <si>
    <t>D9</t>
  </si>
  <si>
    <t>OTHERS</t>
  </si>
  <si>
    <t>D10</t>
  </si>
  <si>
    <t>WORKER CATEGORY</t>
  </si>
  <si>
    <t>LAND BASED</t>
  </si>
  <si>
    <t>G2</t>
  </si>
  <si>
    <t>REHIRE</t>
  </si>
  <si>
    <t>G3</t>
  </si>
  <si>
    <t>SEAFARER</t>
  </si>
  <si>
    <t>G4</t>
  </si>
  <si>
    <t>REQUESTED RECORDS</t>
  </si>
  <si>
    <t>J2</t>
  </si>
  <si>
    <t>J3</t>
  </si>
  <si>
    <t>J4</t>
  </si>
  <si>
    <t>PRINTED/RETRIEVED</t>
  </si>
  <si>
    <t>J6</t>
  </si>
  <si>
    <t>NOTES:</t>
  </si>
  <si>
    <r>
      <rPr>
        <sz val="8"/>
        <color theme="1"/>
        <rFont val="Arial"/>
        <family val="2"/>
      </rPr>
      <t xml:space="preserve">When adding sheets, rename with the following format: </t>
    </r>
    <r>
      <rPr>
        <b/>
        <i/>
        <u/>
        <sz val="8"/>
        <color theme="1"/>
        <rFont val="Arial"/>
        <family val="2"/>
      </rPr>
      <t>mmm d</t>
    </r>
    <r>
      <rPr>
        <sz val="8"/>
        <color theme="1"/>
        <rFont val="Arial"/>
        <family val="2"/>
      </rPr>
      <t xml:space="preserve"> (e.g. Instead of September 25, use Sep 25)</t>
    </r>
  </si>
  <si>
    <t>REQUESTED RECORD</t>
  </si>
  <si>
    <t>INFO SHEET</t>
  </si>
  <si>
    <t>OEC</t>
  </si>
  <si>
    <t>CONTRACT</t>
  </si>
  <si>
    <t>FAMILY NAME</t>
  </si>
  <si>
    <t>FIRST NAME</t>
  </si>
  <si>
    <t>MIDDLE NAME</t>
  </si>
  <si>
    <t>GENDER</t>
  </si>
  <si>
    <t>JOBSITE</t>
  </si>
  <si>
    <t>NAME OF AGENCY</t>
  </si>
  <si>
    <t>SPECIFY IF OTHERS</t>
  </si>
  <si>
    <t>SPECIFY IF REGIONAL OFFICE/POLO</t>
  </si>
  <si>
    <t>DOCUMENTS PRESENTED</t>
  </si>
  <si>
    <t>IF OTHERS</t>
  </si>
  <si>
    <t>ACTION TAKEN</t>
  </si>
  <si>
    <t>TIME RECEIVED</t>
  </si>
  <si>
    <t>TIME RELEASED</t>
  </si>
  <si>
    <t>TOTAL PCT</t>
  </si>
  <si>
    <t>REMARKS IF PCT NOT MET</t>
  </si>
  <si>
    <t>YEAR</t>
  </si>
  <si>
    <t>OFW RECORD RELEASED</t>
  </si>
  <si>
    <t>NO. OF RECORDS RETRIEVED/PRINTED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</si>
</sst>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[$-409]h:mm:ss\ AM/PM;@"/>
  </numFmts>
  <fonts count="16">
    <font>
      <sz val="11"/>
      <color theme="1"/>
      <name val="Calibri"/>
      <charset val="134"/>
      <scheme val="minor"/>
    </font>
    <font>
      <sz val="11"/>
      <color theme="1"/>
      <name val="Tw Cen MT Condensed Extra Bold"/>
      <family val="2"/>
    </font>
    <font>
      <sz val="9"/>
      <color theme="1"/>
      <name val="Calibri"/>
      <family val="2"/>
      <scheme val="minor"/>
    </font>
    <font>
      <b/>
      <sz val="11"/>
      <color theme="1"/>
      <name val="Tw Cen MT"/>
      <family val="2"/>
    </font>
    <font>
      <sz val="10"/>
      <color theme="0"/>
      <name val="Tw Cen MT Condensed Extra Bold"/>
      <family val="2"/>
    </font>
    <font>
      <sz val="11"/>
      <color theme="1" tint="0.14993743705557422"/>
      <name val="Tw Cen MT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8"/>
      <color theme="8" tint="-0.499984740745262"/>
      <name val="Arial"/>
      <family val="2"/>
    </font>
    <font>
      <b/>
      <sz val="9"/>
      <color theme="0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u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51170384838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4659260841701"/>
      </left>
      <right style="thin">
        <color theme="0"/>
      </right>
      <top style="thin">
        <color theme="1" tint="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24994659260841701"/>
      </top>
      <bottom style="thin">
        <color theme="0"/>
      </bottom>
      <diagonal/>
    </border>
    <border>
      <left style="thin">
        <color theme="1" tint="0.24994659260841701"/>
      </left>
      <right style="thin">
        <color theme="0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24994659260841701"/>
      </top>
      <bottom/>
      <diagonal/>
    </border>
    <border>
      <left style="thin">
        <color theme="0"/>
      </left>
      <right style="thin">
        <color theme="1" tint="0.24994659260841701"/>
      </right>
      <top style="thin">
        <color theme="1" tint="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1" tint="0.24994659260841701"/>
      </bottom>
      <diagonal/>
    </border>
    <border>
      <left style="thin">
        <color theme="0"/>
      </left>
      <right style="thin">
        <color theme="1" tint="0.24994659260841701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1" tint="0.24994659260841701"/>
      </right>
      <top/>
      <bottom style="thin">
        <color theme="0"/>
      </bottom>
      <diagonal/>
    </border>
    <border>
      <left style="thin">
        <color theme="1" tint="0.24994659260841701"/>
      </left>
      <right style="thin">
        <color theme="0"/>
      </right>
      <top/>
      <bottom style="thin">
        <color theme="1" tint="0.24994659260841701"/>
      </bottom>
      <diagonal/>
    </border>
    <border>
      <left style="thin">
        <color theme="0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165" fontId="2" fillId="5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 wrapText="1"/>
    </xf>
    <xf numFmtId="0" fontId="2" fillId="5" borderId="1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" fontId="9" fillId="8" borderId="7" xfId="0" applyNumberFormat="1" applyFont="1" applyFill="1" applyBorder="1" applyAlignment="1">
      <alignment horizontal="center"/>
    </xf>
    <xf numFmtId="0" fontId="10" fillId="9" borderId="16" xfId="0" applyFont="1" applyFill="1" applyBorder="1"/>
    <xf numFmtId="0" fontId="6" fillId="0" borderId="17" xfId="0" applyFont="1" applyBorder="1"/>
    <xf numFmtId="0" fontId="11" fillId="5" borderId="17" xfId="0" applyFont="1" applyFill="1" applyBorder="1" applyAlignment="1">
      <alignment horizontal="center"/>
    </xf>
    <xf numFmtId="0" fontId="12" fillId="9" borderId="16" xfId="0" applyFont="1" applyFill="1" applyBorder="1"/>
    <xf numFmtId="0" fontId="11" fillId="9" borderId="16" xfId="0" applyFont="1" applyFill="1" applyBorder="1" applyAlignment="1">
      <alignment horizontal="left" indent="2"/>
    </xf>
    <xf numFmtId="0" fontId="6" fillId="0" borderId="17" xfId="0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16" fontId="9" fillId="8" borderId="18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4"/>
  <sheetViews>
    <sheetView showGridLines="0" zoomScale="120" zoomScaleNormal="120" workbookViewId="0">
      <pane xSplit="2" ySplit="3" topLeftCell="C4" activePane="bottomRight" state="frozen"/>
      <selection activeCell="R29" sqref="R29"/>
      <selection pane="topRight" activeCell="R29" sqref="R29"/>
      <selection pane="bottomLeft" activeCell="R29" sqref="R29"/>
      <selection pane="bottomRight" activeCell="R29" sqref="R29"/>
    </sheetView>
  </sheetViews>
  <sheetFormatPr defaultColWidth="6.7109375" defaultRowHeight="12"/>
  <cols>
    <col min="1" max="1" width="33.42578125" style="23" customWidth="1"/>
    <col min="2" max="2" width="3.28515625" style="23" hidden="1" customWidth="1"/>
    <col min="3" max="3" width="7.85546875" style="23" customWidth="1"/>
    <col min="4" max="16384" width="6.7109375" style="23"/>
  </cols>
  <sheetData>
    <row r="1" spans="1:32" ht="15">
      <c r="A1" s="24" t="s">
        <v>0</v>
      </c>
    </row>
    <row r="2" spans="1:32">
      <c r="A2" s="25" t="s">
        <v>1</v>
      </c>
    </row>
    <row r="3" spans="1:32" s="22" customFormat="1">
      <c r="A3" s="26"/>
      <c r="B3" s="27"/>
      <c r="C3" s="28">
        <v>37135</v>
      </c>
      <c r="D3" s="28">
        <f>C3+1</f>
        <v>37136</v>
      </c>
      <c r="E3" s="28">
        <f t="shared" ref="E3:AF3" si="0">D3+1</f>
        <v>37137</v>
      </c>
      <c r="F3" s="28">
        <f t="shared" si="0"/>
        <v>37138</v>
      </c>
      <c r="G3" s="28">
        <f t="shared" si="0"/>
        <v>37139</v>
      </c>
      <c r="H3" s="28">
        <f t="shared" si="0"/>
        <v>37140</v>
      </c>
      <c r="I3" s="28">
        <f t="shared" si="0"/>
        <v>37141</v>
      </c>
      <c r="J3" s="28">
        <f t="shared" si="0"/>
        <v>37142</v>
      </c>
      <c r="K3" s="28">
        <f t="shared" si="0"/>
        <v>37143</v>
      </c>
      <c r="L3" s="28">
        <f t="shared" si="0"/>
        <v>37144</v>
      </c>
      <c r="M3" s="28">
        <f t="shared" si="0"/>
        <v>37145</v>
      </c>
      <c r="N3" s="28">
        <f t="shared" si="0"/>
        <v>37146</v>
      </c>
      <c r="O3" s="28">
        <f t="shared" si="0"/>
        <v>37147</v>
      </c>
      <c r="P3" s="28">
        <f t="shared" si="0"/>
        <v>37148</v>
      </c>
      <c r="Q3" s="28">
        <f t="shared" si="0"/>
        <v>37149</v>
      </c>
      <c r="R3" s="28">
        <f t="shared" si="0"/>
        <v>37150</v>
      </c>
      <c r="S3" s="28">
        <f t="shared" si="0"/>
        <v>37151</v>
      </c>
      <c r="T3" s="28">
        <f t="shared" si="0"/>
        <v>37152</v>
      </c>
      <c r="U3" s="28">
        <f t="shared" si="0"/>
        <v>37153</v>
      </c>
      <c r="V3" s="28">
        <f t="shared" si="0"/>
        <v>37154</v>
      </c>
      <c r="W3" s="28">
        <f t="shared" si="0"/>
        <v>37155</v>
      </c>
      <c r="X3" s="28">
        <f t="shared" si="0"/>
        <v>37156</v>
      </c>
      <c r="Y3" s="28">
        <f t="shared" si="0"/>
        <v>37157</v>
      </c>
      <c r="Z3" s="28">
        <f t="shared" si="0"/>
        <v>37158</v>
      </c>
      <c r="AA3" s="28">
        <f t="shared" si="0"/>
        <v>37159</v>
      </c>
      <c r="AB3" s="28">
        <f t="shared" si="0"/>
        <v>37160</v>
      </c>
      <c r="AC3" s="28">
        <f t="shared" si="0"/>
        <v>37161</v>
      </c>
      <c r="AD3" s="28">
        <f t="shared" si="0"/>
        <v>37162</v>
      </c>
      <c r="AE3" s="28">
        <f t="shared" si="0"/>
        <v>37163</v>
      </c>
      <c r="AF3" s="37">
        <f t="shared" si="0"/>
        <v>37164</v>
      </c>
    </row>
    <row r="4" spans="1:32">
      <c r="A4" s="29" t="s">
        <v>2</v>
      </c>
      <c r="B4" s="30" t="s">
        <v>3</v>
      </c>
      <c r="C4" s="31" t="str">
        <f t="shared" ref="C4:AF9" ca="1" si="1">IFERROR(INDIRECT("'"&amp;TEXT(C$3,"mmm d")&amp;"'!"&amp;$B4),"N/A")</f>
        <v>N/A</v>
      </c>
      <c r="D4" s="31" t="str">
        <f t="shared" ca="1" si="1"/>
        <v>N/A</v>
      </c>
      <c r="E4" s="31" t="str">
        <f t="shared" ca="1" si="1"/>
        <v>N/A</v>
      </c>
      <c r="F4" s="31" t="str">
        <f t="shared" ca="1" si="1"/>
        <v>N/A</v>
      </c>
      <c r="G4" s="31" t="str">
        <f t="shared" ca="1" si="1"/>
        <v>N/A</v>
      </c>
      <c r="H4" s="31" t="str">
        <f t="shared" ca="1" si="1"/>
        <v>N/A</v>
      </c>
      <c r="I4" s="31" t="str">
        <f t="shared" ca="1" si="1"/>
        <v>N/A</v>
      </c>
      <c r="J4" s="31" t="str">
        <f t="shared" ca="1" si="1"/>
        <v>N/A</v>
      </c>
      <c r="K4" s="31" t="str">
        <f t="shared" ca="1" si="1"/>
        <v>N/A</v>
      </c>
      <c r="L4" s="31" t="str">
        <f t="shared" ca="1" si="1"/>
        <v>N/A</v>
      </c>
      <c r="M4" s="31" t="str">
        <f t="shared" ca="1" si="1"/>
        <v>N/A</v>
      </c>
      <c r="N4" s="31" t="str">
        <f t="shared" ca="1" si="1"/>
        <v>N/A</v>
      </c>
      <c r="O4" s="31" t="str">
        <f t="shared" ca="1" si="1"/>
        <v>N/A</v>
      </c>
      <c r="P4" s="31" t="str">
        <f t="shared" ca="1" si="1"/>
        <v>N/A</v>
      </c>
      <c r="Q4" s="31" t="str">
        <f t="shared" ca="1" si="1"/>
        <v>N/A</v>
      </c>
      <c r="R4" s="31" t="str">
        <f t="shared" ca="1" si="1"/>
        <v>N/A</v>
      </c>
      <c r="S4" s="31" t="str">
        <f t="shared" ca="1" si="1"/>
        <v>N/A</v>
      </c>
      <c r="T4" s="31" t="str">
        <f t="shared" ca="1" si="1"/>
        <v>N/A</v>
      </c>
      <c r="U4" s="31" t="str">
        <f t="shared" ca="1" si="1"/>
        <v>N/A</v>
      </c>
      <c r="V4" s="31" t="str">
        <f t="shared" ca="1" si="1"/>
        <v>N/A</v>
      </c>
      <c r="W4" s="31" t="str">
        <f t="shared" ca="1" si="1"/>
        <v>N/A</v>
      </c>
      <c r="X4" s="31" t="str">
        <f t="shared" ca="1" si="1"/>
        <v>N/A</v>
      </c>
      <c r="Y4" s="31" t="str">
        <f t="shared" ca="1" si="1"/>
        <v>N/A</v>
      </c>
      <c r="Z4" s="31" t="str">
        <f t="shared" ca="1" si="1"/>
        <v>N/A</v>
      </c>
      <c r="AA4" s="31" t="str">
        <f t="shared" ca="1" si="1"/>
        <v>N/A</v>
      </c>
      <c r="AB4" s="31" t="str">
        <f t="shared" ca="1" si="1"/>
        <v>N/A</v>
      </c>
      <c r="AC4" s="31" t="str">
        <f t="shared" ca="1" si="1"/>
        <v>N/A</v>
      </c>
      <c r="AD4" s="31" t="str">
        <f t="shared" ca="1" si="1"/>
        <v>N/A</v>
      </c>
      <c r="AE4" s="31" t="str">
        <f t="shared" ca="1" si="1"/>
        <v>N/A</v>
      </c>
      <c r="AF4" s="31" t="str">
        <f t="shared" ca="1" si="1"/>
        <v>N/A</v>
      </c>
    </row>
    <row r="5" spans="1:32">
      <c r="A5" s="29" t="s">
        <v>4</v>
      </c>
      <c r="B5" s="30" t="s">
        <v>5</v>
      </c>
      <c r="C5" s="31" t="str">
        <f t="shared" ca="1" si="1"/>
        <v>N/A</v>
      </c>
      <c r="D5" s="31" t="str">
        <f t="shared" ca="1" si="1"/>
        <v>N/A</v>
      </c>
      <c r="E5" s="31" t="str">
        <f t="shared" ca="1" si="1"/>
        <v>N/A</v>
      </c>
      <c r="F5" s="31" t="str">
        <f t="shared" ca="1" si="1"/>
        <v>N/A</v>
      </c>
      <c r="G5" s="31" t="str">
        <f t="shared" ca="1" si="1"/>
        <v>N/A</v>
      </c>
      <c r="H5" s="31" t="str">
        <f t="shared" ca="1" si="1"/>
        <v>N/A</v>
      </c>
      <c r="I5" s="31" t="str">
        <f t="shared" ca="1" si="1"/>
        <v>N/A</v>
      </c>
      <c r="J5" s="31" t="str">
        <f t="shared" ca="1" si="1"/>
        <v>N/A</v>
      </c>
      <c r="K5" s="31" t="str">
        <f t="shared" ca="1" si="1"/>
        <v>N/A</v>
      </c>
      <c r="L5" s="31" t="str">
        <f t="shared" ca="1" si="1"/>
        <v>N/A</v>
      </c>
      <c r="M5" s="31" t="str">
        <f t="shared" ca="1" si="1"/>
        <v>N/A</v>
      </c>
      <c r="N5" s="31" t="str">
        <f t="shared" ca="1" si="1"/>
        <v>N/A</v>
      </c>
      <c r="O5" s="31" t="str">
        <f t="shared" ca="1" si="1"/>
        <v>N/A</v>
      </c>
      <c r="P5" s="31" t="str">
        <f t="shared" ca="1" si="1"/>
        <v>N/A</v>
      </c>
      <c r="Q5" s="31" t="str">
        <f t="shared" ca="1" si="1"/>
        <v>N/A</v>
      </c>
      <c r="R5" s="31" t="str">
        <f t="shared" ca="1" si="1"/>
        <v>N/A</v>
      </c>
      <c r="S5" s="31" t="str">
        <f t="shared" ca="1" si="1"/>
        <v>N/A</v>
      </c>
      <c r="T5" s="31" t="str">
        <f t="shared" ca="1" si="1"/>
        <v>N/A</v>
      </c>
      <c r="U5" s="31" t="str">
        <f t="shared" ca="1" si="1"/>
        <v>N/A</v>
      </c>
      <c r="V5" s="31" t="str">
        <f t="shared" ca="1" si="1"/>
        <v>N/A</v>
      </c>
      <c r="W5" s="31" t="str">
        <f t="shared" ca="1" si="1"/>
        <v>N/A</v>
      </c>
      <c r="X5" s="31" t="str">
        <f t="shared" ca="1" si="1"/>
        <v>N/A</v>
      </c>
      <c r="Y5" s="31" t="str">
        <f t="shared" ca="1" si="1"/>
        <v>N/A</v>
      </c>
      <c r="Z5" s="31" t="str">
        <f t="shared" ca="1" si="1"/>
        <v>N/A</v>
      </c>
      <c r="AA5" s="31" t="str">
        <f t="shared" ca="1" si="1"/>
        <v>N/A</v>
      </c>
      <c r="AB5" s="31" t="str">
        <f t="shared" ca="1" si="1"/>
        <v>N/A</v>
      </c>
      <c r="AC5" s="31" t="str">
        <f t="shared" ca="1" si="1"/>
        <v>N/A</v>
      </c>
      <c r="AD5" s="31" t="str">
        <f t="shared" ca="1" si="1"/>
        <v>N/A</v>
      </c>
      <c r="AE5" s="31" t="str">
        <f t="shared" ca="1" si="1"/>
        <v>N/A</v>
      </c>
      <c r="AF5" s="31" t="str">
        <f t="shared" ca="1" si="1"/>
        <v>N/A</v>
      </c>
    </row>
    <row r="6" spans="1:32">
      <c r="A6" s="29" t="s">
        <v>6</v>
      </c>
      <c r="B6" s="30" t="s">
        <v>7</v>
      </c>
      <c r="C6" s="31" t="str">
        <f t="shared" ca="1" si="1"/>
        <v>N/A</v>
      </c>
      <c r="D6" s="31" t="str">
        <f t="shared" ca="1" si="1"/>
        <v>N/A</v>
      </c>
      <c r="E6" s="31" t="str">
        <f t="shared" ca="1" si="1"/>
        <v>N/A</v>
      </c>
      <c r="F6" s="31" t="str">
        <f t="shared" ca="1" si="1"/>
        <v>N/A</v>
      </c>
      <c r="G6" s="31" t="str">
        <f t="shared" ca="1" si="1"/>
        <v>N/A</v>
      </c>
      <c r="H6" s="31" t="str">
        <f t="shared" ca="1" si="1"/>
        <v>N/A</v>
      </c>
      <c r="I6" s="31" t="str">
        <f t="shared" ca="1" si="1"/>
        <v>N/A</v>
      </c>
      <c r="J6" s="31" t="str">
        <f t="shared" ca="1" si="1"/>
        <v>N/A</v>
      </c>
      <c r="K6" s="31" t="str">
        <f t="shared" ca="1" si="1"/>
        <v>N/A</v>
      </c>
      <c r="L6" s="31" t="str">
        <f t="shared" ca="1" si="1"/>
        <v>N/A</v>
      </c>
      <c r="M6" s="31" t="str">
        <f t="shared" ca="1" si="1"/>
        <v>N/A</v>
      </c>
      <c r="N6" s="31" t="str">
        <f t="shared" ca="1" si="1"/>
        <v>N/A</v>
      </c>
      <c r="O6" s="31" t="str">
        <f t="shared" ca="1" si="1"/>
        <v>N/A</v>
      </c>
      <c r="P6" s="31" t="str">
        <f t="shared" ca="1" si="1"/>
        <v>N/A</v>
      </c>
      <c r="Q6" s="31" t="str">
        <f t="shared" ca="1" si="1"/>
        <v>N/A</v>
      </c>
      <c r="R6" s="31" t="str">
        <f t="shared" ca="1" si="1"/>
        <v>N/A</v>
      </c>
      <c r="S6" s="31" t="str">
        <f t="shared" ca="1" si="1"/>
        <v>N/A</v>
      </c>
      <c r="T6" s="31" t="str">
        <f t="shared" ca="1" si="1"/>
        <v>N/A</v>
      </c>
      <c r="U6" s="31" t="str">
        <f t="shared" ca="1" si="1"/>
        <v>N/A</v>
      </c>
      <c r="V6" s="31" t="str">
        <f t="shared" ca="1" si="1"/>
        <v>N/A</v>
      </c>
      <c r="W6" s="31" t="str">
        <f t="shared" ca="1" si="1"/>
        <v>N/A</v>
      </c>
      <c r="X6" s="31" t="str">
        <f t="shared" ca="1" si="1"/>
        <v>N/A</v>
      </c>
      <c r="Y6" s="31" t="str">
        <f t="shared" ca="1" si="1"/>
        <v>N/A</v>
      </c>
      <c r="Z6" s="31" t="str">
        <f t="shared" ca="1" si="1"/>
        <v>N/A</v>
      </c>
      <c r="AA6" s="31" t="str">
        <f t="shared" ca="1" si="1"/>
        <v>N/A</v>
      </c>
      <c r="AB6" s="31" t="str">
        <f t="shared" ca="1" si="1"/>
        <v>N/A</v>
      </c>
      <c r="AC6" s="31" t="str">
        <f t="shared" ca="1" si="1"/>
        <v>N/A</v>
      </c>
      <c r="AD6" s="31" t="str">
        <f t="shared" ca="1" si="1"/>
        <v>N/A</v>
      </c>
      <c r="AE6" s="31" t="str">
        <f t="shared" ca="1" si="1"/>
        <v>N/A</v>
      </c>
      <c r="AF6" s="31" t="str">
        <f t="shared" ca="1" si="1"/>
        <v>N/A</v>
      </c>
    </row>
    <row r="7" spans="1:32">
      <c r="A7" s="29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>
      <c r="A8" s="29" t="s">
        <v>8</v>
      </c>
      <c r="B8" s="30" t="s">
        <v>9</v>
      </c>
      <c r="C8" s="31" t="str">
        <f t="shared" ca="1" si="1"/>
        <v>N/A</v>
      </c>
      <c r="D8" s="31" t="str">
        <f t="shared" ca="1" si="1"/>
        <v>N/A</v>
      </c>
      <c r="E8" s="31" t="str">
        <f t="shared" ca="1" si="1"/>
        <v>N/A</v>
      </c>
      <c r="F8" s="31" t="str">
        <f t="shared" ca="1" si="1"/>
        <v>N/A</v>
      </c>
      <c r="G8" s="31" t="str">
        <f t="shared" ca="1" si="1"/>
        <v>N/A</v>
      </c>
      <c r="H8" s="31" t="str">
        <f t="shared" ca="1" si="1"/>
        <v>N/A</v>
      </c>
      <c r="I8" s="31" t="str">
        <f t="shared" ca="1" si="1"/>
        <v>N/A</v>
      </c>
      <c r="J8" s="31" t="str">
        <f t="shared" ca="1" si="1"/>
        <v>N/A</v>
      </c>
      <c r="K8" s="31" t="str">
        <f t="shared" ca="1" si="1"/>
        <v>N/A</v>
      </c>
      <c r="L8" s="31" t="str">
        <f t="shared" ca="1" si="1"/>
        <v>N/A</v>
      </c>
      <c r="M8" s="31" t="str">
        <f t="shared" ca="1" si="1"/>
        <v>N/A</v>
      </c>
      <c r="N8" s="31" t="str">
        <f t="shared" ca="1" si="1"/>
        <v>N/A</v>
      </c>
      <c r="O8" s="31" t="str">
        <f t="shared" ca="1" si="1"/>
        <v>N/A</v>
      </c>
      <c r="P8" s="31" t="str">
        <f t="shared" ca="1" si="1"/>
        <v>N/A</v>
      </c>
      <c r="Q8" s="31" t="str">
        <f t="shared" ca="1" si="1"/>
        <v>N/A</v>
      </c>
      <c r="R8" s="31" t="str">
        <f t="shared" ca="1" si="1"/>
        <v>N/A</v>
      </c>
      <c r="S8" s="31" t="str">
        <f t="shared" ca="1" si="1"/>
        <v>N/A</v>
      </c>
      <c r="T8" s="31" t="str">
        <f t="shared" ca="1" si="1"/>
        <v>N/A</v>
      </c>
      <c r="U8" s="31" t="str">
        <f t="shared" ca="1" si="1"/>
        <v>N/A</v>
      </c>
      <c r="V8" s="31" t="str">
        <f t="shared" ca="1" si="1"/>
        <v>N/A</v>
      </c>
      <c r="W8" s="31" t="str">
        <f t="shared" ca="1" si="1"/>
        <v>N/A</v>
      </c>
      <c r="X8" s="31" t="str">
        <f t="shared" ca="1" si="1"/>
        <v>N/A</v>
      </c>
      <c r="Y8" s="31" t="str">
        <f t="shared" ca="1" si="1"/>
        <v>N/A</v>
      </c>
      <c r="Z8" s="31" t="str">
        <f t="shared" ca="1" si="1"/>
        <v>N/A</v>
      </c>
      <c r="AA8" s="31" t="str">
        <f t="shared" ca="1" si="1"/>
        <v>N/A</v>
      </c>
      <c r="AB8" s="31" t="str">
        <f t="shared" ca="1" si="1"/>
        <v>N/A</v>
      </c>
      <c r="AC8" s="31" t="str">
        <f t="shared" ca="1" si="1"/>
        <v>N/A</v>
      </c>
      <c r="AD8" s="31" t="str">
        <f t="shared" ca="1" si="1"/>
        <v>N/A</v>
      </c>
      <c r="AE8" s="31" t="str">
        <f t="shared" ca="1" si="1"/>
        <v>N/A</v>
      </c>
      <c r="AF8" s="31" t="str">
        <f t="shared" ca="1" si="1"/>
        <v>N/A</v>
      </c>
    </row>
    <row r="9" spans="1:32">
      <c r="A9" s="29" t="s">
        <v>10</v>
      </c>
      <c r="B9" s="30" t="s">
        <v>11</v>
      </c>
      <c r="C9" s="31" t="str">
        <f t="shared" ca="1" si="1"/>
        <v>N/A</v>
      </c>
      <c r="D9" s="31" t="str">
        <f t="shared" ca="1" si="1"/>
        <v>N/A</v>
      </c>
      <c r="E9" s="31" t="str">
        <f t="shared" ca="1" si="1"/>
        <v>N/A</v>
      </c>
      <c r="F9" s="31" t="str">
        <f t="shared" ca="1" si="1"/>
        <v>N/A</v>
      </c>
      <c r="G9" s="31" t="str">
        <f t="shared" ca="1" si="1"/>
        <v>N/A</v>
      </c>
      <c r="H9" s="31" t="str">
        <f t="shared" ca="1" si="1"/>
        <v>N/A</v>
      </c>
      <c r="I9" s="31" t="str">
        <f t="shared" ca="1" si="1"/>
        <v>N/A</v>
      </c>
      <c r="J9" s="31" t="str">
        <f t="shared" ca="1" si="1"/>
        <v>N/A</v>
      </c>
      <c r="K9" s="31" t="str">
        <f t="shared" ca="1" si="1"/>
        <v>N/A</v>
      </c>
      <c r="L9" s="31" t="str">
        <f t="shared" ca="1" si="1"/>
        <v>N/A</v>
      </c>
      <c r="M9" s="31" t="str">
        <f t="shared" ca="1" si="1"/>
        <v>N/A</v>
      </c>
      <c r="N9" s="31" t="str">
        <f t="shared" ca="1" si="1"/>
        <v>N/A</v>
      </c>
      <c r="O9" s="31" t="str">
        <f t="shared" ca="1" si="1"/>
        <v>N/A</v>
      </c>
      <c r="P9" s="31" t="str">
        <f t="shared" ca="1" si="1"/>
        <v>N/A</v>
      </c>
      <c r="Q9" s="31" t="str">
        <f t="shared" ca="1" si="1"/>
        <v>N/A</v>
      </c>
      <c r="R9" s="31" t="str">
        <f t="shared" ca="1" si="1"/>
        <v>N/A</v>
      </c>
      <c r="S9" s="31" t="str">
        <f t="shared" ca="1" si="1"/>
        <v>N/A</v>
      </c>
      <c r="T9" s="31" t="str">
        <f t="shared" ca="1" si="1"/>
        <v>N/A</v>
      </c>
      <c r="U9" s="31" t="str">
        <f t="shared" ca="1" si="1"/>
        <v>N/A</v>
      </c>
      <c r="V9" s="31" t="str">
        <f t="shared" ca="1" si="1"/>
        <v>N/A</v>
      </c>
      <c r="W9" s="31" t="str">
        <f t="shared" ca="1" si="1"/>
        <v>N/A</v>
      </c>
      <c r="X9" s="31" t="str">
        <f t="shared" ca="1" si="1"/>
        <v>N/A</v>
      </c>
      <c r="Y9" s="31" t="str">
        <f t="shared" ca="1" si="1"/>
        <v>N/A</v>
      </c>
      <c r="Z9" s="31" t="str">
        <f t="shared" ca="1" si="1"/>
        <v>N/A</v>
      </c>
      <c r="AA9" s="31" t="str">
        <f t="shared" ca="1" si="1"/>
        <v>N/A</v>
      </c>
      <c r="AB9" s="31" t="str">
        <f t="shared" ca="1" si="1"/>
        <v>N/A</v>
      </c>
      <c r="AC9" s="31" t="str">
        <f t="shared" ca="1" si="1"/>
        <v>N/A</v>
      </c>
      <c r="AD9" s="31" t="str">
        <f t="shared" ca="1" si="1"/>
        <v>N/A</v>
      </c>
      <c r="AE9" s="31" t="str">
        <f t="shared" ca="1" si="1"/>
        <v>N/A</v>
      </c>
      <c r="AF9" s="31" t="str">
        <f t="shared" ca="1" si="1"/>
        <v>N/A</v>
      </c>
    </row>
    <row r="10" spans="1:32">
      <c r="A10" s="29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>
      <c r="A11" s="32" t="s">
        <v>12</v>
      </c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>
      <c r="A12" s="33" t="s">
        <v>13</v>
      </c>
      <c r="B12" s="34" t="s">
        <v>14</v>
      </c>
      <c r="C12" s="31" t="str">
        <f t="shared" ref="C12:AF20" ca="1" si="2">IFERROR(INDIRECT("'"&amp;TEXT(C$3,"mmm d")&amp;"'!"&amp;$B12),"N/A")</f>
        <v>N/A</v>
      </c>
      <c r="D12" s="31" t="str">
        <f t="shared" ca="1" si="2"/>
        <v>N/A</v>
      </c>
      <c r="E12" s="31" t="str">
        <f t="shared" ca="1" si="2"/>
        <v>N/A</v>
      </c>
      <c r="F12" s="31" t="str">
        <f t="shared" ca="1" si="2"/>
        <v>N/A</v>
      </c>
      <c r="G12" s="31" t="str">
        <f t="shared" ca="1" si="2"/>
        <v>N/A</v>
      </c>
      <c r="H12" s="31" t="str">
        <f t="shared" ca="1" si="2"/>
        <v>N/A</v>
      </c>
      <c r="I12" s="31" t="str">
        <f t="shared" ca="1" si="2"/>
        <v>N/A</v>
      </c>
      <c r="J12" s="31" t="str">
        <f t="shared" ca="1" si="2"/>
        <v>N/A</v>
      </c>
      <c r="K12" s="31" t="str">
        <f t="shared" ca="1" si="2"/>
        <v>N/A</v>
      </c>
      <c r="L12" s="31" t="str">
        <f t="shared" ca="1" si="2"/>
        <v>N/A</v>
      </c>
      <c r="M12" s="31" t="str">
        <f t="shared" ca="1" si="2"/>
        <v>N/A</v>
      </c>
      <c r="N12" s="31" t="str">
        <f t="shared" ca="1" si="2"/>
        <v>N/A</v>
      </c>
      <c r="O12" s="31" t="str">
        <f t="shared" ca="1" si="2"/>
        <v>N/A</v>
      </c>
      <c r="P12" s="31" t="str">
        <f t="shared" ca="1" si="2"/>
        <v>N/A</v>
      </c>
      <c r="Q12" s="31" t="str">
        <f t="shared" ca="1" si="2"/>
        <v>N/A</v>
      </c>
      <c r="R12" s="31" t="str">
        <f t="shared" ca="1" si="2"/>
        <v>N/A</v>
      </c>
      <c r="S12" s="31" t="str">
        <f t="shared" ca="1" si="2"/>
        <v>N/A</v>
      </c>
      <c r="T12" s="31" t="str">
        <f t="shared" ca="1" si="2"/>
        <v>N/A</v>
      </c>
      <c r="U12" s="31" t="str">
        <f t="shared" ca="1" si="2"/>
        <v>N/A</v>
      </c>
      <c r="V12" s="31" t="str">
        <f t="shared" ca="1" si="2"/>
        <v>N/A</v>
      </c>
      <c r="W12" s="31" t="str">
        <f t="shared" ca="1" si="2"/>
        <v>N/A</v>
      </c>
      <c r="X12" s="31" t="str">
        <f t="shared" ca="1" si="2"/>
        <v>N/A</v>
      </c>
      <c r="Y12" s="31" t="str">
        <f t="shared" ca="1" si="2"/>
        <v>N/A</v>
      </c>
      <c r="Z12" s="31" t="str">
        <f t="shared" ca="1" si="2"/>
        <v>N/A</v>
      </c>
      <c r="AA12" s="31" t="str">
        <f t="shared" ca="1" si="2"/>
        <v>N/A</v>
      </c>
      <c r="AB12" s="31" t="str">
        <f t="shared" ca="1" si="2"/>
        <v>N/A</v>
      </c>
      <c r="AC12" s="31" t="str">
        <f t="shared" ca="1" si="2"/>
        <v>N/A</v>
      </c>
      <c r="AD12" s="31" t="str">
        <f t="shared" ca="1" si="2"/>
        <v>N/A</v>
      </c>
      <c r="AE12" s="31" t="str">
        <f t="shared" ca="1" si="2"/>
        <v>N/A</v>
      </c>
      <c r="AF12" s="31" t="str">
        <f t="shared" ca="1" si="2"/>
        <v>N/A</v>
      </c>
    </row>
    <row r="13" spans="1:32">
      <c r="A13" s="33" t="s">
        <v>15</v>
      </c>
      <c r="B13" s="34" t="s">
        <v>16</v>
      </c>
      <c r="C13" s="31" t="str">
        <f t="shared" ca="1" si="2"/>
        <v>N/A</v>
      </c>
      <c r="D13" s="31" t="str">
        <f t="shared" ca="1" si="2"/>
        <v>N/A</v>
      </c>
      <c r="E13" s="31" t="str">
        <f t="shared" ca="1" si="2"/>
        <v>N/A</v>
      </c>
      <c r="F13" s="31" t="str">
        <f t="shared" ca="1" si="2"/>
        <v>N/A</v>
      </c>
      <c r="G13" s="31" t="str">
        <f t="shared" ca="1" si="2"/>
        <v>N/A</v>
      </c>
      <c r="H13" s="31" t="str">
        <f t="shared" ca="1" si="2"/>
        <v>N/A</v>
      </c>
      <c r="I13" s="31" t="str">
        <f t="shared" ca="1" si="2"/>
        <v>N/A</v>
      </c>
      <c r="J13" s="31" t="str">
        <f t="shared" ca="1" si="2"/>
        <v>N/A</v>
      </c>
      <c r="K13" s="31" t="str">
        <f t="shared" ca="1" si="2"/>
        <v>N/A</v>
      </c>
      <c r="L13" s="31" t="str">
        <f t="shared" ca="1" si="2"/>
        <v>N/A</v>
      </c>
      <c r="M13" s="31" t="str">
        <f t="shared" ca="1" si="2"/>
        <v>N/A</v>
      </c>
      <c r="N13" s="31" t="str">
        <f t="shared" ca="1" si="2"/>
        <v>N/A</v>
      </c>
      <c r="O13" s="31" t="str">
        <f t="shared" ca="1" si="2"/>
        <v>N/A</v>
      </c>
      <c r="P13" s="31" t="str">
        <f t="shared" ca="1" si="2"/>
        <v>N/A</v>
      </c>
      <c r="Q13" s="31" t="str">
        <f t="shared" ca="1" si="2"/>
        <v>N/A</v>
      </c>
      <c r="R13" s="31" t="str">
        <f t="shared" ca="1" si="2"/>
        <v>N/A</v>
      </c>
      <c r="S13" s="31" t="str">
        <f t="shared" ca="1" si="2"/>
        <v>N/A</v>
      </c>
      <c r="T13" s="31" t="str">
        <f t="shared" ca="1" si="2"/>
        <v>N/A</v>
      </c>
      <c r="U13" s="31" t="str">
        <f t="shared" ca="1" si="2"/>
        <v>N/A</v>
      </c>
      <c r="V13" s="31" t="str">
        <f t="shared" ca="1" si="2"/>
        <v>N/A</v>
      </c>
      <c r="W13" s="31" t="str">
        <f t="shared" ca="1" si="2"/>
        <v>N/A</v>
      </c>
      <c r="X13" s="31" t="str">
        <f t="shared" ca="1" si="2"/>
        <v>N/A</v>
      </c>
      <c r="Y13" s="31" t="str">
        <f t="shared" ca="1" si="2"/>
        <v>N/A</v>
      </c>
      <c r="Z13" s="31" t="str">
        <f t="shared" ca="1" si="2"/>
        <v>N/A</v>
      </c>
      <c r="AA13" s="31" t="str">
        <f t="shared" ca="1" si="2"/>
        <v>N/A</v>
      </c>
      <c r="AB13" s="31" t="str">
        <f t="shared" ca="1" si="2"/>
        <v>N/A</v>
      </c>
      <c r="AC13" s="31" t="str">
        <f t="shared" ca="1" si="2"/>
        <v>N/A</v>
      </c>
      <c r="AD13" s="31" t="str">
        <f t="shared" ca="1" si="2"/>
        <v>N/A</v>
      </c>
      <c r="AE13" s="31" t="str">
        <f t="shared" ca="1" si="2"/>
        <v>N/A</v>
      </c>
      <c r="AF13" s="31" t="str">
        <f t="shared" ca="1" si="2"/>
        <v>N/A</v>
      </c>
    </row>
    <row r="14" spans="1:32">
      <c r="A14" s="33" t="s">
        <v>17</v>
      </c>
      <c r="B14" s="34" t="s">
        <v>18</v>
      </c>
      <c r="C14" s="31" t="str">
        <f t="shared" ca="1" si="2"/>
        <v>N/A</v>
      </c>
      <c r="D14" s="31" t="str">
        <f t="shared" ca="1" si="2"/>
        <v>N/A</v>
      </c>
      <c r="E14" s="31" t="str">
        <f t="shared" ca="1" si="2"/>
        <v>N/A</v>
      </c>
      <c r="F14" s="31" t="str">
        <f t="shared" ca="1" si="2"/>
        <v>N/A</v>
      </c>
      <c r="G14" s="31" t="str">
        <f t="shared" ca="1" si="2"/>
        <v>N/A</v>
      </c>
      <c r="H14" s="31" t="str">
        <f t="shared" ca="1" si="2"/>
        <v>N/A</v>
      </c>
      <c r="I14" s="31" t="str">
        <f t="shared" ca="1" si="2"/>
        <v>N/A</v>
      </c>
      <c r="J14" s="31" t="str">
        <f t="shared" ca="1" si="2"/>
        <v>N/A</v>
      </c>
      <c r="K14" s="31" t="str">
        <f t="shared" ca="1" si="2"/>
        <v>N/A</v>
      </c>
      <c r="L14" s="31" t="str">
        <f t="shared" ca="1" si="2"/>
        <v>N/A</v>
      </c>
      <c r="M14" s="31" t="str">
        <f t="shared" ca="1" si="2"/>
        <v>N/A</v>
      </c>
      <c r="N14" s="31" t="str">
        <f t="shared" ca="1" si="2"/>
        <v>N/A</v>
      </c>
      <c r="O14" s="31" t="str">
        <f t="shared" ca="1" si="2"/>
        <v>N/A</v>
      </c>
      <c r="P14" s="31" t="str">
        <f t="shared" ca="1" si="2"/>
        <v>N/A</v>
      </c>
      <c r="Q14" s="31" t="str">
        <f t="shared" ca="1" si="2"/>
        <v>N/A</v>
      </c>
      <c r="R14" s="31" t="str">
        <f t="shared" ca="1" si="2"/>
        <v>N/A</v>
      </c>
      <c r="S14" s="31" t="str">
        <f t="shared" ca="1" si="2"/>
        <v>N/A</v>
      </c>
      <c r="T14" s="31" t="str">
        <f t="shared" ca="1" si="2"/>
        <v>N/A</v>
      </c>
      <c r="U14" s="31" t="str">
        <f t="shared" ca="1" si="2"/>
        <v>N/A</v>
      </c>
      <c r="V14" s="31" t="str">
        <f t="shared" ca="1" si="2"/>
        <v>N/A</v>
      </c>
      <c r="W14" s="31" t="str">
        <f t="shared" ca="1" si="2"/>
        <v>N/A</v>
      </c>
      <c r="X14" s="31" t="str">
        <f t="shared" ca="1" si="2"/>
        <v>N/A</v>
      </c>
      <c r="Y14" s="31" t="str">
        <f t="shared" ca="1" si="2"/>
        <v>N/A</v>
      </c>
      <c r="Z14" s="31" t="str">
        <f t="shared" ca="1" si="2"/>
        <v>N/A</v>
      </c>
      <c r="AA14" s="31" t="str">
        <f t="shared" ca="1" si="2"/>
        <v>N/A</v>
      </c>
      <c r="AB14" s="31" t="str">
        <f t="shared" ca="1" si="2"/>
        <v>N/A</v>
      </c>
      <c r="AC14" s="31" t="str">
        <f t="shared" ca="1" si="2"/>
        <v>N/A</v>
      </c>
      <c r="AD14" s="31" t="str">
        <f t="shared" ca="1" si="2"/>
        <v>N/A</v>
      </c>
      <c r="AE14" s="31" t="str">
        <f t="shared" ca="1" si="2"/>
        <v>N/A</v>
      </c>
      <c r="AF14" s="31" t="str">
        <f t="shared" ca="1" si="2"/>
        <v>N/A</v>
      </c>
    </row>
    <row r="15" spans="1:32">
      <c r="A15" s="33" t="s">
        <v>19</v>
      </c>
      <c r="B15" s="34" t="s">
        <v>20</v>
      </c>
      <c r="C15" s="31" t="str">
        <f t="shared" ca="1" si="2"/>
        <v>N/A</v>
      </c>
      <c r="D15" s="31" t="str">
        <f t="shared" ca="1" si="2"/>
        <v>N/A</v>
      </c>
      <c r="E15" s="31" t="str">
        <f t="shared" ca="1" si="2"/>
        <v>N/A</v>
      </c>
      <c r="F15" s="31" t="str">
        <f t="shared" ca="1" si="2"/>
        <v>N/A</v>
      </c>
      <c r="G15" s="31" t="str">
        <f t="shared" ca="1" si="2"/>
        <v>N/A</v>
      </c>
      <c r="H15" s="31" t="str">
        <f t="shared" ca="1" si="2"/>
        <v>N/A</v>
      </c>
      <c r="I15" s="31" t="str">
        <f t="shared" ca="1" si="2"/>
        <v>N/A</v>
      </c>
      <c r="J15" s="31" t="str">
        <f t="shared" ca="1" si="2"/>
        <v>N/A</v>
      </c>
      <c r="K15" s="31" t="str">
        <f t="shared" ca="1" si="2"/>
        <v>N/A</v>
      </c>
      <c r="L15" s="31" t="str">
        <f t="shared" ca="1" si="2"/>
        <v>N/A</v>
      </c>
      <c r="M15" s="31" t="str">
        <f t="shared" ca="1" si="2"/>
        <v>N/A</v>
      </c>
      <c r="N15" s="31" t="str">
        <f t="shared" ca="1" si="2"/>
        <v>N/A</v>
      </c>
      <c r="O15" s="31" t="str">
        <f t="shared" ca="1" si="2"/>
        <v>N/A</v>
      </c>
      <c r="P15" s="31" t="str">
        <f t="shared" ca="1" si="2"/>
        <v>N/A</v>
      </c>
      <c r="Q15" s="31" t="str">
        <f t="shared" ca="1" si="2"/>
        <v>N/A</v>
      </c>
      <c r="R15" s="31" t="str">
        <f t="shared" ca="1" si="2"/>
        <v>N/A</v>
      </c>
      <c r="S15" s="31" t="str">
        <f t="shared" ca="1" si="2"/>
        <v>N/A</v>
      </c>
      <c r="T15" s="31" t="str">
        <f t="shared" ca="1" si="2"/>
        <v>N/A</v>
      </c>
      <c r="U15" s="31" t="str">
        <f t="shared" ca="1" si="2"/>
        <v>N/A</v>
      </c>
      <c r="V15" s="31" t="str">
        <f t="shared" ca="1" si="2"/>
        <v>N/A</v>
      </c>
      <c r="W15" s="31" t="str">
        <f t="shared" ca="1" si="2"/>
        <v>N/A</v>
      </c>
      <c r="X15" s="31" t="str">
        <f t="shared" ca="1" si="2"/>
        <v>N/A</v>
      </c>
      <c r="Y15" s="31" t="str">
        <f t="shared" ca="1" si="2"/>
        <v>N/A</v>
      </c>
      <c r="Z15" s="31" t="str">
        <f t="shared" ca="1" si="2"/>
        <v>N/A</v>
      </c>
      <c r="AA15" s="31" t="str">
        <f t="shared" ca="1" si="2"/>
        <v>N/A</v>
      </c>
      <c r="AB15" s="31" t="str">
        <f t="shared" ca="1" si="2"/>
        <v>N/A</v>
      </c>
      <c r="AC15" s="31" t="str">
        <f t="shared" ca="1" si="2"/>
        <v>N/A</v>
      </c>
      <c r="AD15" s="31" t="str">
        <f t="shared" ca="1" si="2"/>
        <v>N/A</v>
      </c>
      <c r="AE15" s="31" t="str">
        <f t="shared" ca="1" si="2"/>
        <v>N/A</v>
      </c>
      <c r="AF15" s="31" t="str">
        <f t="shared" ca="1" si="2"/>
        <v>N/A</v>
      </c>
    </row>
    <row r="16" spans="1:32">
      <c r="A16" s="33" t="s">
        <v>21</v>
      </c>
      <c r="B16" s="34" t="s">
        <v>22</v>
      </c>
      <c r="C16" s="31" t="str">
        <f t="shared" ca="1" si="2"/>
        <v>N/A</v>
      </c>
      <c r="D16" s="31" t="str">
        <f t="shared" ca="1" si="2"/>
        <v>N/A</v>
      </c>
      <c r="E16" s="31" t="str">
        <f t="shared" ca="1" si="2"/>
        <v>N/A</v>
      </c>
      <c r="F16" s="31" t="str">
        <f t="shared" ca="1" si="2"/>
        <v>N/A</v>
      </c>
      <c r="G16" s="31" t="str">
        <f t="shared" ca="1" si="2"/>
        <v>N/A</v>
      </c>
      <c r="H16" s="31" t="str">
        <f t="shared" ca="1" si="2"/>
        <v>N/A</v>
      </c>
      <c r="I16" s="31" t="str">
        <f t="shared" ca="1" si="2"/>
        <v>N/A</v>
      </c>
      <c r="J16" s="31" t="str">
        <f t="shared" ca="1" si="2"/>
        <v>N/A</v>
      </c>
      <c r="K16" s="31" t="str">
        <f t="shared" ca="1" si="2"/>
        <v>N/A</v>
      </c>
      <c r="L16" s="31" t="str">
        <f t="shared" ca="1" si="2"/>
        <v>N/A</v>
      </c>
      <c r="M16" s="31" t="str">
        <f t="shared" ca="1" si="2"/>
        <v>N/A</v>
      </c>
      <c r="N16" s="31" t="str">
        <f t="shared" ca="1" si="2"/>
        <v>N/A</v>
      </c>
      <c r="O16" s="31" t="str">
        <f t="shared" ca="1" si="2"/>
        <v>N/A</v>
      </c>
      <c r="P16" s="31" t="str">
        <f t="shared" ca="1" si="2"/>
        <v>N/A</v>
      </c>
      <c r="Q16" s="31" t="str">
        <f t="shared" ca="1" si="2"/>
        <v>N/A</v>
      </c>
      <c r="R16" s="31" t="str">
        <f t="shared" ca="1" si="2"/>
        <v>N/A</v>
      </c>
      <c r="S16" s="31" t="str">
        <f t="shared" ca="1" si="2"/>
        <v>N/A</v>
      </c>
      <c r="T16" s="31" t="str">
        <f t="shared" ca="1" si="2"/>
        <v>N/A</v>
      </c>
      <c r="U16" s="31" t="str">
        <f t="shared" ca="1" si="2"/>
        <v>N/A</v>
      </c>
      <c r="V16" s="31" t="str">
        <f t="shared" ca="1" si="2"/>
        <v>N/A</v>
      </c>
      <c r="W16" s="31" t="str">
        <f t="shared" ca="1" si="2"/>
        <v>N/A</v>
      </c>
      <c r="X16" s="31" t="str">
        <f t="shared" ca="1" si="2"/>
        <v>N/A</v>
      </c>
      <c r="Y16" s="31" t="str">
        <f t="shared" ca="1" si="2"/>
        <v>N/A</v>
      </c>
      <c r="Z16" s="31" t="str">
        <f t="shared" ca="1" si="2"/>
        <v>N/A</v>
      </c>
      <c r="AA16" s="31" t="str">
        <f t="shared" ca="1" si="2"/>
        <v>N/A</v>
      </c>
      <c r="AB16" s="31" t="str">
        <f t="shared" ca="1" si="2"/>
        <v>N/A</v>
      </c>
      <c r="AC16" s="31" t="str">
        <f t="shared" ca="1" si="2"/>
        <v>N/A</v>
      </c>
      <c r="AD16" s="31" t="str">
        <f t="shared" ca="1" si="2"/>
        <v>N/A</v>
      </c>
      <c r="AE16" s="31" t="str">
        <f t="shared" ca="1" si="2"/>
        <v>N/A</v>
      </c>
      <c r="AF16" s="31" t="str">
        <f t="shared" ca="1" si="2"/>
        <v>N/A</v>
      </c>
    </row>
    <row r="17" spans="1:32">
      <c r="A17" s="33" t="s">
        <v>23</v>
      </c>
      <c r="B17" s="34" t="s">
        <v>24</v>
      </c>
      <c r="C17" s="31" t="str">
        <f t="shared" ca="1" si="2"/>
        <v>N/A</v>
      </c>
      <c r="D17" s="31" t="str">
        <f t="shared" ca="1" si="2"/>
        <v>N/A</v>
      </c>
      <c r="E17" s="31" t="str">
        <f t="shared" ca="1" si="2"/>
        <v>N/A</v>
      </c>
      <c r="F17" s="31" t="str">
        <f t="shared" ca="1" si="2"/>
        <v>N/A</v>
      </c>
      <c r="G17" s="31" t="str">
        <f t="shared" ca="1" si="2"/>
        <v>N/A</v>
      </c>
      <c r="H17" s="31" t="str">
        <f t="shared" ca="1" si="2"/>
        <v>N/A</v>
      </c>
      <c r="I17" s="31" t="str">
        <f t="shared" ca="1" si="2"/>
        <v>N/A</v>
      </c>
      <c r="J17" s="31" t="str">
        <f t="shared" ca="1" si="2"/>
        <v>N/A</v>
      </c>
      <c r="K17" s="31" t="str">
        <f t="shared" ca="1" si="2"/>
        <v>N/A</v>
      </c>
      <c r="L17" s="31" t="str">
        <f t="shared" ca="1" si="2"/>
        <v>N/A</v>
      </c>
      <c r="M17" s="31" t="str">
        <f t="shared" ca="1" si="2"/>
        <v>N/A</v>
      </c>
      <c r="N17" s="31" t="str">
        <f t="shared" ca="1" si="2"/>
        <v>N/A</v>
      </c>
      <c r="O17" s="31" t="str">
        <f t="shared" ca="1" si="2"/>
        <v>N/A</v>
      </c>
      <c r="P17" s="31" t="str">
        <f t="shared" ca="1" si="2"/>
        <v>N/A</v>
      </c>
      <c r="Q17" s="31" t="str">
        <f t="shared" ca="1" si="2"/>
        <v>N/A</v>
      </c>
      <c r="R17" s="31" t="str">
        <f t="shared" ref="D17:AF20" ca="1" si="3">IFERROR(INDIRECT("'"&amp;TEXT(R$3,"mmm d")&amp;"'!"&amp;$B17),"N/A")</f>
        <v>N/A</v>
      </c>
      <c r="S17" s="31" t="str">
        <f t="shared" ca="1" si="3"/>
        <v>N/A</v>
      </c>
      <c r="T17" s="31" t="str">
        <f t="shared" ca="1" si="3"/>
        <v>N/A</v>
      </c>
      <c r="U17" s="31" t="str">
        <f t="shared" ca="1" si="3"/>
        <v>N/A</v>
      </c>
      <c r="V17" s="31" t="str">
        <f t="shared" ca="1" si="3"/>
        <v>N/A</v>
      </c>
      <c r="W17" s="31" t="str">
        <f t="shared" ca="1" si="3"/>
        <v>N/A</v>
      </c>
      <c r="X17" s="31" t="str">
        <f t="shared" ca="1" si="3"/>
        <v>N/A</v>
      </c>
      <c r="Y17" s="31" t="str">
        <f t="shared" ca="1" si="3"/>
        <v>N/A</v>
      </c>
      <c r="Z17" s="31" t="str">
        <f t="shared" ca="1" si="3"/>
        <v>N/A</v>
      </c>
      <c r="AA17" s="31" t="str">
        <f t="shared" ca="1" si="3"/>
        <v>N/A</v>
      </c>
      <c r="AB17" s="31" t="str">
        <f t="shared" ca="1" si="3"/>
        <v>N/A</v>
      </c>
      <c r="AC17" s="31" t="str">
        <f t="shared" ca="1" si="3"/>
        <v>N/A</v>
      </c>
      <c r="AD17" s="31" t="str">
        <f t="shared" ca="1" si="3"/>
        <v>N/A</v>
      </c>
      <c r="AE17" s="31" t="str">
        <f t="shared" ca="1" si="3"/>
        <v>N/A</v>
      </c>
      <c r="AF17" s="31" t="str">
        <f t="shared" ca="1" si="3"/>
        <v>N/A</v>
      </c>
    </row>
    <row r="18" spans="1:32">
      <c r="A18" s="33" t="s">
        <v>25</v>
      </c>
      <c r="B18" s="34" t="s">
        <v>26</v>
      </c>
      <c r="C18" s="31" t="str">
        <f t="shared" ca="1" si="2"/>
        <v>N/A</v>
      </c>
      <c r="D18" s="31" t="str">
        <f t="shared" ca="1" si="3"/>
        <v>N/A</v>
      </c>
      <c r="E18" s="31" t="str">
        <f t="shared" ca="1" si="3"/>
        <v>N/A</v>
      </c>
      <c r="F18" s="31" t="str">
        <f t="shared" ca="1" si="3"/>
        <v>N/A</v>
      </c>
      <c r="G18" s="31" t="str">
        <f t="shared" ca="1" si="3"/>
        <v>N/A</v>
      </c>
      <c r="H18" s="31" t="str">
        <f t="shared" ca="1" si="3"/>
        <v>N/A</v>
      </c>
      <c r="I18" s="31" t="str">
        <f t="shared" ca="1" si="3"/>
        <v>N/A</v>
      </c>
      <c r="J18" s="31" t="str">
        <f t="shared" ca="1" si="3"/>
        <v>N/A</v>
      </c>
      <c r="K18" s="31" t="str">
        <f t="shared" ca="1" si="3"/>
        <v>N/A</v>
      </c>
      <c r="L18" s="31" t="str">
        <f t="shared" ca="1" si="3"/>
        <v>N/A</v>
      </c>
      <c r="M18" s="31" t="str">
        <f t="shared" ca="1" si="3"/>
        <v>N/A</v>
      </c>
      <c r="N18" s="31" t="str">
        <f t="shared" ca="1" si="3"/>
        <v>N/A</v>
      </c>
      <c r="O18" s="31" t="str">
        <f t="shared" ca="1" si="3"/>
        <v>N/A</v>
      </c>
      <c r="P18" s="31" t="str">
        <f t="shared" ca="1" si="3"/>
        <v>N/A</v>
      </c>
      <c r="Q18" s="31" t="str">
        <f t="shared" ca="1" si="3"/>
        <v>N/A</v>
      </c>
      <c r="R18" s="31" t="str">
        <f t="shared" ca="1" si="3"/>
        <v>N/A</v>
      </c>
      <c r="S18" s="31" t="str">
        <f t="shared" ca="1" si="3"/>
        <v>N/A</v>
      </c>
      <c r="T18" s="31" t="str">
        <f t="shared" ca="1" si="3"/>
        <v>N/A</v>
      </c>
      <c r="U18" s="31" t="str">
        <f t="shared" ca="1" si="3"/>
        <v>N/A</v>
      </c>
      <c r="V18" s="31" t="str">
        <f t="shared" ca="1" si="3"/>
        <v>N/A</v>
      </c>
      <c r="W18" s="31" t="str">
        <f t="shared" ca="1" si="3"/>
        <v>N/A</v>
      </c>
      <c r="X18" s="31" t="str">
        <f t="shared" ca="1" si="3"/>
        <v>N/A</v>
      </c>
      <c r="Y18" s="31" t="str">
        <f t="shared" ca="1" si="3"/>
        <v>N/A</v>
      </c>
      <c r="Z18" s="31" t="str">
        <f t="shared" ca="1" si="3"/>
        <v>N/A</v>
      </c>
      <c r="AA18" s="31" t="str">
        <f t="shared" ca="1" si="3"/>
        <v>N/A</v>
      </c>
      <c r="AB18" s="31" t="str">
        <f t="shared" ca="1" si="3"/>
        <v>N/A</v>
      </c>
      <c r="AC18" s="31" t="str">
        <f t="shared" ca="1" si="3"/>
        <v>N/A</v>
      </c>
      <c r="AD18" s="31" t="str">
        <f t="shared" ca="1" si="3"/>
        <v>N/A</v>
      </c>
      <c r="AE18" s="31" t="str">
        <f t="shared" ca="1" si="3"/>
        <v>N/A</v>
      </c>
      <c r="AF18" s="31" t="str">
        <f t="shared" ca="1" si="3"/>
        <v>N/A</v>
      </c>
    </row>
    <row r="19" spans="1:32">
      <c r="A19" s="33" t="s">
        <v>27</v>
      </c>
      <c r="B19" s="34" t="s">
        <v>28</v>
      </c>
      <c r="C19" s="31" t="str">
        <f t="shared" ca="1" si="2"/>
        <v>N/A</v>
      </c>
      <c r="D19" s="31" t="str">
        <f t="shared" ca="1" si="3"/>
        <v>N/A</v>
      </c>
      <c r="E19" s="31" t="str">
        <f t="shared" ca="1" si="3"/>
        <v>N/A</v>
      </c>
      <c r="F19" s="31" t="str">
        <f t="shared" ca="1" si="3"/>
        <v>N/A</v>
      </c>
      <c r="G19" s="31" t="str">
        <f t="shared" ca="1" si="3"/>
        <v>N/A</v>
      </c>
      <c r="H19" s="31" t="str">
        <f t="shared" ca="1" si="3"/>
        <v>N/A</v>
      </c>
      <c r="I19" s="31" t="str">
        <f t="shared" ca="1" si="3"/>
        <v>N/A</v>
      </c>
      <c r="J19" s="31" t="str">
        <f t="shared" ca="1" si="3"/>
        <v>N/A</v>
      </c>
      <c r="K19" s="31" t="str">
        <f t="shared" ca="1" si="3"/>
        <v>N/A</v>
      </c>
      <c r="L19" s="31" t="str">
        <f t="shared" ca="1" si="3"/>
        <v>N/A</v>
      </c>
      <c r="M19" s="31" t="str">
        <f t="shared" ca="1" si="3"/>
        <v>N/A</v>
      </c>
      <c r="N19" s="31" t="str">
        <f t="shared" ca="1" si="3"/>
        <v>N/A</v>
      </c>
      <c r="O19" s="31" t="str">
        <f t="shared" ca="1" si="3"/>
        <v>N/A</v>
      </c>
      <c r="P19" s="31" t="str">
        <f t="shared" ca="1" si="3"/>
        <v>N/A</v>
      </c>
      <c r="Q19" s="31" t="str">
        <f t="shared" ca="1" si="3"/>
        <v>N/A</v>
      </c>
      <c r="R19" s="31" t="str">
        <f t="shared" ca="1" si="3"/>
        <v>N/A</v>
      </c>
      <c r="S19" s="31" t="str">
        <f t="shared" ca="1" si="3"/>
        <v>N/A</v>
      </c>
      <c r="T19" s="31" t="str">
        <f t="shared" ca="1" si="3"/>
        <v>N/A</v>
      </c>
      <c r="U19" s="31" t="str">
        <f t="shared" ca="1" si="3"/>
        <v>N/A</v>
      </c>
      <c r="V19" s="31" t="str">
        <f t="shared" ca="1" si="3"/>
        <v>N/A</v>
      </c>
      <c r="W19" s="31" t="str">
        <f t="shared" ca="1" si="3"/>
        <v>N/A</v>
      </c>
      <c r="X19" s="31" t="str">
        <f t="shared" ca="1" si="3"/>
        <v>N/A</v>
      </c>
      <c r="Y19" s="31" t="str">
        <f t="shared" ca="1" si="3"/>
        <v>N/A</v>
      </c>
      <c r="Z19" s="31" t="str">
        <f t="shared" ca="1" si="3"/>
        <v>N/A</v>
      </c>
      <c r="AA19" s="31" t="str">
        <f t="shared" ca="1" si="3"/>
        <v>N/A</v>
      </c>
      <c r="AB19" s="31" t="str">
        <f t="shared" ca="1" si="3"/>
        <v>N/A</v>
      </c>
      <c r="AC19" s="31" t="str">
        <f t="shared" ca="1" si="3"/>
        <v>N/A</v>
      </c>
      <c r="AD19" s="31" t="str">
        <f t="shared" ca="1" si="3"/>
        <v>N/A</v>
      </c>
      <c r="AE19" s="31" t="str">
        <f t="shared" ca="1" si="3"/>
        <v>N/A</v>
      </c>
      <c r="AF19" s="31" t="str">
        <f t="shared" ca="1" si="3"/>
        <v>N/A</v>
      </c>
    </row>
    <row r="20" spans="1:32">
      <c r="A20" s="33" t="s">
        <v>29</v>
      </c>
      <c r="B20" s="34" t="s">
        <v>30</v>
      </c>
      <c r="C20" s="31" t="str">
        <f t="shared" ca="1" si="2"/>
        <v>N/A</v>
      </c>
      <c r="D20" s="31" t="str">
        <f t="shared" ca="1" si="3"/>
        <v>N/A</v>
      </c>
      <c r="E20" s="31" t="str">
        <f t="shared" ca="1" si="3"/>
        <v>N/A</v>
      </c>
      <c r="F20" s="31" t="str">
        <f t="shared" ca="1" si="3"/>
        <v>N/A</v>
      </c>
      <c r="G20" s="31" t="str">
        <f t="shared" ca="1" si="3"/>
        <v>N/A</v>
      </c>
      <c r="H20" s="31" t="str">
        <f t="shared" ca="1" si="3"/>
        <v>N/A</v>
      </c>
      <c r="I20" s="31" t="str">
        <f t="shared" ca="1" si="3"/>
        <v>N/A</v>
      </c>
      <c r="J20" s="31" t="str">
        <f t="shared" ca="1" si="3"/>
        <v>N/A</v>
      </c>
      <c r="K20" s="31" t="str">
        <f t="shared" ca="1" si="3"/>
        <v>N/A</v>
      </c>
      <c r="L20" s="31" t="str">
        <f t="shared" ca="1" si="3"/>
        <v>N/A</v>
      </c>
      <c r="M20" s="31" t="str">
        <f t="shared" ca="1" si="3"/>
        <v>N/A</v>
      </c>
      <c r="N20" s="31" t="str">
        <f t="shared" ca="1" si="3"/>
        <v>N/A</v>
      </c>
      <c r="O20" s="31" t="str">
        <f t="shared" ca="1" si="3"/>
        <v>N/A</v>
      </c>
      <c r="P20" s="31" t="str">
        <f t="shared" ca="1" si="3"/>
        <v>N/A</v>
      </c>
      <c r="Q20" s="31" t="str">
        <f t="shared" ca="1" si="3"/>
        <v>N/A</v>
      </c>
      <c r="R20" s="31" t="str">
        <f t="shared" ca="1" si="3"/>
        <v>N/A</v>
      </c>
      <c r="S20" s="31" t="str">
        <f t="shared" ca="1" si="3"/>
        <v>N/A</v>
      </c>
      <c r="T20" s="31" t="str">
        <f t="shared" ca="1" si="3"/>
        <v>N/A</v>
      </c>
      <c r="U20" s="31" t="str">
        <f t="shared" ca="1" si="3"/>
        <v>N/A</v>
      </c>
      <c r="V20" s="31" t="str">
        <f t="shared" ca="1" si="3"/>
        <v>N/A</v>
      </c>
      <c r="W20" s="31" t="str">
        <f t="shared" ca="1" si="3"/>
        <v>N/A</v>
      </c>
      <c r="X20" s="31" t="str">
        <f t="shared" ca="1" si="3"/>
        <v>N/A</v>
      </c>
      <c r="Y20" s="31" t="str">
        <f t="shared" ca="1" si="3"/>
        <v>N/A</v>
      </c>
      <c r="Z20" s="31" t="str">
        <f t="shared" ca="1" si="3"/>
        <v>N/A</v>
      </c>
      <c r="AA20" s="31" t="str">
        <f t="shared" ca="1" si="3"/>
        <v>N/A</v>
      </c>
      <c r="AB20" s="31" t="str">
        <f t="shared" ca="1" si="3"/>
        <v>N/A</v>
      </c>
      <c r="AC20" s="31" t="str">
        <f t="shared" ca="1" si="3"/>
        <v>N/A</v>
      </c>
      <c r="AD20" s="31" t="str">
        <f t="shared" ca="1" si="3"/>
        <v>N/A</v>
      </c>
      <c r="AE20" s="31" t="str">
        <f t="shared" ca="1" si="3"/>
        <v>N/A</v>
      </c>
      <c r="AF20" s="31" t="str">
        <f t="shared" ca="1" si="3"/>
        <v>N/A</v>
      </c>
    </row>
    <row r="21" spans="1:32">
      <c r="A21" s="33"/>
      <c r="B21" s="34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>
      <c r="A22" s="32" t="s">
        <v>31</v>
      </c>
      <c r="B22" s="34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>
      <c r="A23" s="33" t="s">
        <v>32</v>
      </c>
      <c r="B23" s="34" t="s">
        <v>33</v>
      </c>
      <c r="C23" s="31" t="str">
        <f t="shared" ref="C23:R23" ca="1" si="4">IFERROR(INDIRECT("'"&amp;TEXT(C$3,"mmm d")&amp;"'!"&amp;$B23),"N/A")</f>
        <v>N/A</v>
      </c>
      <c r="D23" s="31" t="str">
        <f t="shared" ca="1" si="4"/>
        <v>N/A</v>
      </c>
      <c r="E23" s="31" t="str">
        <f t="shared" ca="1" si="4"/>
        <v>N/A</v>
      </c>
      <c r="F23" s="31" t="str">
        <f t="shared" ca="1" si="4"/>
        <v>N/A</v>
      </c>
      <c r="G23" s="31" t="str">
        <f t="shared" ca="1" si="4"/>
        <v>N/A</v>
      </c>
      <c r="H23" s="31" t="str">
        <f t="shared" ca="1" si="4"/>
        <v>N/A</v>
      </c>
      <c r="I23" s="31" t="str">
        <f t="shared" ca="1" si="4"/>
        <v>N/A</v>
      </c>
      <c r="J23" s="31" t="str">
        <f t="shared" ca="1" si="4"/>
        <v>N/A</v>
      </c>
      <c r="K23" s="31" t="str">
        <f t="shared" ca="1" si="4"/>
        <v>N/A</v>
      </c>
      <c r="L23" s="31" t="str">
        <f t="shared" ca="1" si="4"/>
        <v>N/A</v>
      </c>
      <c r="M23" s="31" t="str">
        <f t="shared" ca="1" si="4"/>
        <v>N/A</v>
      </c>
      <c r="N23" s="31" t="str">
        <f t="shared" ca="1" si="4"/>
        <v>N/A</v>
      </c>
      <c r="O23" s="31" t="str">
        <f t="shared" ca="1" si="4"/>
        <v>N/A</v>
      </c>
      <c r="P23" s="31" t="str">
        <f t="shared" ca="1" si="4"/>
        <v>N/A</v>
      </c>
      <c r="Q23" s="31" t="str">
        <f t="shared" ca="1" si="4"/>
        <v>N/A</v>
      </c>
      <c r="R23" s="31" t="str">
        <f t="shared" ca="1" si="4"/>
        <v>N/A</v>
      </c>
      <c r="S23" s="31" t="str">
        <f t="shared" ref="D23:AF25" ca="1" si="5">IFERROR(INDIRECT("'"&amp;TEXT(S$3,"mmm d")&amp;"'!"&amp;$B23),"N/A")</f>
        <v>N/A</v>
      </c>
      <c r="T23" s="31" t="str">
        <f t="shared" ca="1" si="5"/>
        <v>N/A</v>
      </c>
      <c r="U23" s="31" t="str">
        <f t="shared" ca="1" si="5"/>
        <v>N/A</v>
      </c>
      <c r="V23" s="31" t="str">
        <f t="shared" ca="1" si="5"/>
        <v>N/A</v>
      </c>
      <c r="W23" s="31" t="str">
        <f t="shared" ca="1" si="5"/>
        <v>N/A</v>
      </c>
      <c r="X23" s="31" t="str">
        <f t="shared" ca="1" si="5"/>
        <v>N/A</v>
      </c>
      <c r="Y23" s="31" t="str">
        <f t="shared" ca="1" si="5"/>
        <v>N/A</v>
      </c>
      <c r="Z23" s="31" t="str">
        <f t="shared" ca="1" si="5"/>
        <v>N/A</v>
      </c>
      <c r="AA23" s="31" t="str">
        <f t="shared" ca="1" si="5"/>
        <v>N/A</v>
      </c>
      <c r="AB23" s="31" t="str">
        <f t="shared" ca="1" si="5"/>
        <v>N/A</v>
      </c>
      <c r="AC23" s="31" t="str">
        <f t="shared" ca="1" si="5"/>
        <v>N/A</v>
      </c>
      <c r="AD23" s="31" t="str">
        <f t="shared" ca="1" si="5"/>
        <v>N/A</v>
      </c>
      <c r="AE23" s="31" t="str">
        <f t="shared" ca="1" si="5"/>
        <v>N/A</v>
      </c>
      <c r="AF23" s="31" t="str">
        <f t="shared" ca="1" si="5"/>
        <v>N/A</v>
      </c>
    </row>
    <row r="24" spans="1:32">
      <c r="A24" s="33" t="s">
        <v>34</v>
      </c>
      <c r="B24" s="34" t="s">
        <v>35</v>
      </c>
      <c r="C24" s="31" t="str">
        <f ca="1">IFERROR(INDIRECT("'"&amp;TEXT(C$3,"mmm d")&amp;"'!"&amp;$B24),"N/A")</f>
        <v>N/A</v>
      </c>
      <c r="D24" s="31" t="str">
        <f t="shared" ca="1" si="5"/>
        <v>N/A</v>
      </c>
      <c r="E24" s="31" t="str">
        <f t="shared" ca="1" si="5"/>
        <v>N/A</v>
      </c>
      <c r="F24" s="31" t="str">
        <f t="shared" ca="1" si="5"/>
        <v>N/A</v>
      </c>
      <c r="G24" s="31" t="str">
        <f t="shared" ca="1" si="5"/>
        <v>N/A</v>
      </c>
      <c r="H24" s="31" t="str">
        <f t="shared" ca="1" si="5"/>
        <v>N/A</v>
      </c>
      <c r="I24" s="31" t="str">
        <f t="shared" ca="1" si="5"/>
        <v>N/A</v>
      </c>
      <c r="J24" s="31" t="str">
        <f t="shared" ca="1" si="5"/>
        <v>N/A</v>
      </c>
      <c r="K24" s="31" t="str">
        <f t="shared" ca="1" si="5"/>
        <v>N/A</v>
      </c>
      <c r="L24" s="31" t="str">
        <f t="shared" ca="1" si="5"/>
        <v>N/A</v>
      </c>
      <c r="M24" s="31" t="str">
        <f t="shared" ca="1" si="5"/>
        <v>N/A</v>
      </c>
      <c r="N24" s="31" t="str">
        <f t="shared" ca="1" si="5"/>
        <v>N/A</v>
      </c>
      <c r="O24" s="31" t="str">
        <f t="shared" ca="1" si="5"/>
        <v>N/A</v>
      </c>
      <c r="P24" s="31" t="str">
        <f t="shared" ca="1" si="5"/>
        <v>N/A</v>
      </c>
      <c r="Q24" s="31" t="str">
        <f t="shared" ca="1" si="5"/>
        <v>N/A</v>
      </c>
      <c r="R24" s="31" t="str">
        <f t="shared" ca="1" si="5"/>
        <v>N/A</v>
      </c>
      <c r="S24" s="31" t="str">
        <f t="shared" ca="1" si="5"/>
        <v>N/A</v>
      </c>
      <c r="T24" s="31" t="str">
        <f t="shared" ca="1" si="5"/>
        <v>N/A</v>
      </c>
      <c r="U24" s="31" t="str">
        <f t="shared" ca="1" si="5"/>
        <v>N/A</v>
      </c>
      <c r="V24" s="31" t="str">
        <f t="shared" ca="1" si="5"/>
        <v>N/A</v>
      </c>
      <c r="W24" s="31" t="str">
        <f t="shared" ca="1" si="5"/>
        <v>N/A</v>
      </c>
      <c r="X24" s="31" t="str">
        <f t="shared" ca="1" si="5"/>
        <v>N/A</v>
      </c>
      <c r="Y24" s="31" t="str">
        <f t="shared" ca="1" si="5"/>
        <v>N/A</v>
      </c>
      <c r="Z24" s="31" t="str">
        <f t="shared" ca="1" si="5"/>
        <v>N/A</v>
      </c>
      <c r="AA24" s="31" t="str">
        <f t="shared" ca="1" si="5"/>
        <v>N/A</v>
      </c>
      <c r="AB24" s="31" t="str">
        <f t="shared" ca="1" si="5"/>
        <v>N/A</v>
      </c>
      <c r="AC24" s="31" t="str">
        <f t="shared" ca="1" si="5"/>
        <v>N/A</v>
      </c>
      <c r="AD24" s="31" t="str">
        <f t="shared" ca="1" si="5"/>
        <v>N/A</v>
      </c>
      <c r="AE24" s="31" t="str">
        <f t="shared" ca="1" si="5"/>
        <v>N/A</v>
      </c>
      <c r="AF24" s="31" t="str">
        <f t="shared" ca="1" si="5"/>
        <v>N/A</v>
      </c>
    </row>
    <row r="25" spans="1:32">
      <c r="A25" s="33" t="s">
        <v>36</v>
      </c>
      <c r="B25" s="34" t="s">
        <v>37</v>
      </c>
      <c r="C25" s="31" t="str">
        <f ca="1">IFERROR(INDIRECT("'"&amp;TEXT(C$3,"mmm d")&amp;"'!"&amp;$B25),"N/A")</f>
        <v>N/A</v>
      </c>
      <c r="D25" s="31" t="str">
        <f t="shared" ca="1" si="5"/>
        <v>N/A</v>
      </c>
      <c r="E25" s="31" t="str">
        <f t="shared" ca="1" si="5"/>
        <v>N/A</v>
      </c>
      <c r="F25" s="31" t="str">
        <f t="shared" ca="1" si="5"/>
        <v>N/A</v>
      </c>
      <c r="G25" s="31" t="str">
        <f t="shared" ca="1" si="5"/>
        <v>N/A</v>
      </c>
      <c r="H25" s="31" t="str">
        <f t="shared" ca="1" si="5"/>
        <v>N/A</v>
      </c>
      <c r="I25" s="31" t="str">
        <f t="shared" ca="1" si="5"/>
        <v>N/A</v>
      </c>
      <c r="J25" s="31" t="str">
        <f t="shared" ca="1" si="5"/>
        <v>N/A</v>
      </c>
      <c r="K25" s="31" t="str">
        <f t="shared" ca="1" si="5"/>
        <v>N/A</v>
      </c>
      <c r="L25" s="31" t="str">
        <f t="shared" ca="1" si="5"/>
        <v>N/A</v>
      </c>
      <c r="M25" s="31" t="str">
        <f t="shared" ca="1" si="5"/>
        <v>N/A</v>
      </c>
      <c r="N25" s="31" t="str">
        <f t="shared" ca="1" si="5"/>
        <v>N/A</v>
      </c>
      <c r="O25" s="31" t="str">
        <f t="shared" ca="1" si="5"/>
        <v>N/A</v>
      </c>
      <c r="P25" s="31" t="str">
        <f t="shared" ca="1" si="5"/>
        <v>N/A</v>
      </c>
      <c r="Q25" s="31" t="str">
        <f t="shared" ca="1" si="5"/>
        <v>N/A</v>
      </c>
      <c r="R25" s="31" t="str">
        <f t="shared" ca="1" si="5"/>
        <v>N/A</v>
      </c>
      <c r="S25" s="31" t="str">
        <f t="shared" ca="1" si="5"/>
        <v>N/A</v>
      </c>
      <c r="T25" s="31" t="str">
        <f t="shared" ca="1" si="5"/>
        <v>N/A</v>
      </c>
      <c r="U25" s="31" t="str">
        <f t="shared" ca="1" si="5"/>
        <v>N/A</v>
      </c>
      <c r="V25" s="31" t="str">
        <f t="shared" ca="1" si="5"/>
        <v>N/A</v>
      </c>
      <c r="W25" s="31" t="str">
        <f t="shared" ca="1" si="5"/>
        <v>N/A</v>
      </c>
      <c r="X25" s="31" t="str">
        <f t="shared" ca="1" si="5"/>
        <v>N/A</v>
      </c>
      <c r="Y25" s="31" t="str">
        <f t="shared" ca="1" si="5"/>
        <v>N/A</v>
      </c>
      <c r="Z25" s="31" t="str">
        <f t="shared" ca="1" si="5"/>
        <v>N/A</v>
      </c>
      <c r="AA25" s="31" t="str">
        <f t="shared" ca="1" si="5"/>
        <v>N/A</v>
      </c>
      <c r="AB25" s="31" t="str">
        <f t="shared" ca="1" si="5"/>
        <v>N/A</v>
      </c>
      <c r="AC25" s="31" t="str">
        <f t="shared" ca="1" si="5"/>
        <v>N/A</v>
      </c>
      <c r="AD25" s="31" t="str">
        <f t="shared" ca="1" si="5"/>
        <v>N/A</v>
      </c>
      <c r="AE25" s="31" t="str">
        <f t="shared" ca="1" si="5"/>
        <v>N/A</v>
      </c>
      <c r="AF25" s="31" t="str">
        <f t="shared" ca="1" si="5"/>
        <v>N/A</v>
      </c>
    </row>
    <row r="26" spans="1:32">
      <c r="A26" s="33"/>
      <c r="B26" s="34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>
      <c r="A27" s="32" t="s">
        <v>38</v>
      </c>
      <c r="B27" s="34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>
      <c r="A28" s="33" t="s">
        <v>32</v>
      </c>
      <c r="B28" s="30" t="s">
        <v>39</v>
      </c>
      <c r="C28" s="31" t="str">
        <f t="shared" ref="C28:R28" ca="1" si="6">IFERROR(INDIRECT("'"&amp;TEXT(C$3,"mmm d")&amp;"'!"&amp;$B28),"N/A")</f>
        <v>N/A</v>
      </c>
      <c r="D28" s="31" t="str">
        <f t="shared" ca="1" si="6"/>
        <v>N/A</v>
      </c>
      <c r="E28" s="31" t="str">
        <f t="shared" ca="1" si="6"/>
        <v>N/A</v>
      </c>
      <c r="F28" s="31" t="str">
        <f t="shared" ca="1" si="6"/>
        <v>N/A</v>
      </c>
      <c r="G28" s="31" t="str">
        <f t="shared" ca="1" si="6"/>
        <v>N/A</v>
      </c>
      <c r="H28" s="31" t="str">
        <f t="shared" ca="1" si="6"/>
        <v>N/A</v>
      </c>
      <c r="I28" s="31" t="str">
        <f t="shared" ca="1" si="6"/>
        <v>N/A</v>
      </c>
      <c r="J28" s="31" t="str">
        <f t="shared" ca="1" si="6"/>
        <v>N/A</v>
      </c>
      <c r="K28" s="31" t="str">
        <f t="shared" ca="1" si="6"/>
        <v>N/A</v>
      </c>
      <c r="L28" s="31" t="str">
        <f t="shared" ca="1" si="6"/>
        <v>N/A</v>
      </c>
      <c r="M28" s="31" t="str">
        <f t="shared" ca="1" si="6"/>
        <v>N/A</v>
      </c>
      <c r="N28" s="31" t="str">
        <f t="shared" ca="1" si="6"/>
        <v>N/A</v>
      </c>
      <c r="O28" s="31" t="str">
        <f t="shared" ca="1" si="6"/>
        <v>N/A</v>
      </c>
      <c r="P28" s="31" t="str">
        <f t="shared" ca="1" si="6"/>
        <v>N/A</v>
      </c>
      <c r="Q28" s="31" t="str">
        <f t="shared" ca="1" si="6"/>
        <v>N/A</v>
      </c>
      <c r="R28" s="31" t="str">
        <f t="shared" ca="1" si="6"/>
        <v>N/A</v>
      </c>
      <c r="S28" s="31" t="str">
        <f t="shared" ref="D28:AF30" ca="1" si="7">IFERROR(INDIRECT("'"&amp;TEXT(S$3,"mmm d")&amp;"'!"&amp;$B28),"N/A")</f>
        <v>N/A</v>
      </c>
      <c r="T28" s="31" t="str">
        <f t="shared" ca="1" si="7"/>
        <v>N/A</v>
      </c>
      <c r="U28" s="31" t="str">
        <f t="shared" ca="1" si="7"/>
        <v>N/A</v>
      </c>
      <c r="V28" s="31" t="str">
        <f t="shared" ca="1" si="7"/>
        <v>N/A</v>
      </c>
      <c r="W28" s="31" t="str">
        <f t="shared" ca="1" si="7"/>
        <v>N/A</v>
      </c>
      <c r="X28" s="31" t="str">
        <f t="shared" ca="1" si="7"/>
        <v>N/A</v>
      </c>
      <c r="Y28" s="31" t="str">
        <f t="shared" ca="1" si="7"/>
        <v>N/A</v>
      </c>
      <c r="Z28" s="31" t="str">
        <f t="shared" ca="1" si="7"/>
        <v>N/A</v>
      </c>
      <c r="AA28" s="31" t="str">
        <f t="shared" ca="1" si="7"/>
        <v>N/A</v>
      </c>
      <c r="AB28" s="31" t="str">
        <f t="shared" ca="1" si="7"/>
        <v>N/A</v>
      </c>
      <c r="AC28" s="31" t="str">
        <f t="shared" ca="1" si="7"/>
        <v>N/A</v>
      </c>
      <c r="AD28" s="31" t="str">
        <f t="shared" ca="1" si="7"/>
        <v>N/A</v>
      </c>
      <c r="AE28" s="31" t="str">
        <f t="shared" ca="1" si="7"/>
        <v>N/A</v>
      </c>
      <c r="AF28" s="31" t="str">
        <f t="shared" ca="1" si="7"/>
        <v>N/A</v>
      </c>
    </row>
    <row r="29" spans="1:32">
      <c r="A29" s="33" t="s">
        <v>34</v>
      </c>
      <c r="B29" s="30" t="s">
        <v>40</v>
      </c>
      <c r="C29" s="31" t="str">
        <f ca="1">IFERROR(INDIRECT("'"&amp;TEXT(C$3,"mmm d")&amp;"'!"&amp;$B29),"N/A")</f>
        <v>N/A</v>
      </c>
      <c r="D29" s="31" t="str">
        <f t="shared" ca="1" si="7"/>
        <v>N/A</v>
      </c>
      <c r="E29" s="31" t="str">
        <f t="shared" ca="1" si="7"/>
        <v>N/A</v>
      </c>
      <c r="F29" s="31" t="str">
        <f t="shared" ca="1" si="7"/>
        <v>N/A</v>
      </c>
      <c r="G29" s="31" t="str">
        <f t="shared" ca="1" si="7"/>
        <v>N/A</v>
      </c>
      <c r="H29" s="31" t="str">
        <f t="shared" ca="1" si="7"/>
        <v>N/A</v>
      </c>
      <c r="I29" s="31" t="str">
        <f t="shared" ca="1" si="7"/>
        <v>N/A</v>
      </c>
      <c r="J29" s="31" t="str">
        <f t="shared" ca="1" si="7"/>
        <v>N/A</v>
      </c>
      <c r="K29" s="31" t="str">
        <f t="shared" ca="1" si="7"/>
        <v>N/A</v>
      </c>
      <c r="L29" s="31" t="str">
        <f t="shared" ca="1" si="7"/>
        <v>N/A</v>
      </c>
      <c r="M29" s="31" t="str">
        <f t="shared" ca="1" si="7"/>
        <v>N/A</v>
      </c>
      <c r="N29" s="31" t="str">
        <f t="shared" ca="1" si="7"/>
        <v>N/A</v>
      </c>
      <c r="O29" s="31" t="str">
        <f t="shared" ca="1" si="7"/>
        <v>N/A</v>
      </c>
      <c r="P29" s="31" t="str">
        <f t="shared" ca="1" si="7"/>
        <v>N/A</v>
      </c>
      <c r="Q29" s="31" t="str">
        <f t="shared" ca="1" si="7"/>
        <v>N/A</v>
      </c>
      <c r="R29" s="31" t="str">
        <f t="shared" ca="1" si="7"/>
        <v>N/A</v>
      </c>
      <c r="S29" s="31" t="str">
        <f t="shared" ca="1" si="7"/>
        <v>N/A</v>
      </c>
      <c r="T29" s="31" t="str">
        <f t="shared" ca="1" si="7"/>
        <v>N/A</v>
      </c>
      <c r="U29" s="31" t="str">
        <f t="shared" ca="1" si="7"/>
        <v>N/A</v>
      </c>
      <c r="V29" s="31" t="str">
        <f t="shared" ca="1" si="7"/>
        <v>N/A</v>
      </c>
      <c r="W29" s="31" t="str">
        <f t="shared" ca="1" si="7"/>
        <v>N/A</v>
      </c>
      <c r="X29" s="31" t="str">
        <f t="shared" ca="1" si="7"/>
        <v>N/A</v>
      </c>
      <c r="Y29" s="31" t="str">
        <f t="shared" ca="1" si="7"/>
        <v>N/A</v>
      </c>
      <c r="Z29" s="31" t="str">
        <f t="shared" ca="1" si="7"/>
        <v>N/A</v>
      </c>
      <c r="AA29" s="31" t="str">
        <f t="shared" ca="1" si="7"/>
        <v>N/A</v>
      </c>
      <c r="AB29" s="31" t="str">
        <f t="shared" ca="1" si="7"/>
        <v>N/A</v>
      </c>
      <c r="AC29" s="31" t="str">
        <f t="shared" ca="1" si="7"/>
        <v>N/A</v>
      </c>
      <c r="AD29" s="31" t="str">
        <f t="shared" ca="1" si="7"/>
        <v>N/A</v>
      </c>
      <c r="AE29" s="31" t="str">
        <f t="shared" ca="1" si="7"/>
        <v>N/A</v>
      </c>
      <c r="AF29" s="31" t="str">
        <f t="shared" ca="1" si="7"/>
        <v>N/A</v>
      </c>
    </row>
    <row r="30" spans="1:32">
      <c r="A30" s="33" t="s">
        <v>36</v>
      </c>
      <c r="B30" s="30" t="s">
        <v>41</v>
      </c>
      <c r="C30" s="31" t="str">
        <f ca="1">IFERROR(INDIRECT("'"&amp;TEXT(C$3,"mmm d")&amp;"'!"&amp;$B30),"N/A")</f>
        <v>N/A</v>
      </c>
      <c r="D30" s="31" t="str">
        <f t="shared" ca="1" si="7"/>
        <v>N/A</v>
      </c>
      <c r="E30" s="31" t="str">
        <f t="shared" ca="1" si="7"/>
        <v>N/A</v>
      </c>
      <c r="F30" s="31" t="str">
        <f t="shared" ca="1" si="7"/>
        <v>N/A</v>
      </c>
      <c r="G30" s="31" t="str">
        <f t="shared" ca="1" si="7"/>
        <v>N/A</v>
      </c>
      <c r="H30" s="31" t="str">
        <f t="shared" ca="1" si="7"/>
        <v>N/A</v>
      </c>
      <c r="I30" s="31" t="str">
        <f t="shared" ca="1" si="7"/>
        <v>N/A</v>
      </c>
      <c r="J30" s="31" t="str">
        <f t="shared" ca="1" si="7"/>
        <v>N/A</v>
      </c>
      <c r="K30" s="31" t="str">
        <f t="shared" ca="1" si="7"/>
        <v>N/A</v>
      </c>
      <c r="L30" s="31" t="str">
        <f t="shared" ca="1" si="7"/>
        <v>N/A</v>
      </c>
      <c r="M30" s="31" t="str">
        <f t="shared" ca="1" si="7"/>
        <v>N/A</v>
      </c>
      <c r="N30" s="31" t="str">
        <f t="shared" ca="1" si="7"/>
        <v>N/A</v>
      </c>
      <c r="O30" s="31" t="str">
        <f t="shared" ca="1" si="7"/>
        <v>N/A</v>
      </c>
      <c r="P30" s="31" t="str">
        <f t="shared" ca="1" si="7"/>
        <v>N/A</v>
      </c>
      <c r="Q30" s="31" t="str">
        <f t="shared" ca="1" si="7"/>
        <v>N/A</v>
      </c>
      <c r="R30" s="31" t="str">
        <f t="shared" ca="1" si="7"/>
        <v>N/A</v>
      </c>
      <c r="S30" s="31" t="str">
        <f t="shared" ca="1" si="7"/>
        <v>N/A</v>
      </c>
      <c r="T30" s="31" t="str">
        <f t="shared" ca="1" si="7"/>
        <v>N/A</v>
      </c>
      <c r="U30" s="31" t="str">
        <f t="shared" ca="1" si="7"/>
        <v>N/A</v>
      </c>
      <c r="V30" s="31" t="str">
        <f t="shared" ca="1" si="7"/>
        <v>N/A</v>
      </c>
      <c r="W30" s="31" t="str">
        <f t="shared" ca="1" si="7"/>
        <v>N/A</v>
      </c>
      <c r="X30" s="31" t="str">
        <f t="shared" ca="1" si="7"/>
        <v>N/A</v>
      </c>
      <c r="Y30" s="31" t="str">
        <f t="shared" ca="1" si="7"/>
        <v>N/A</v>
      </c>
      <c r="Z30" s="31" t="str">
        <f t="shared" ca="1" si="7"/>
        <v>N/A</v>
      </c>
      <c r="AA30" s="31" t="str">
        <f t="shared" ca="1" si="7"/>
        <v>N/A</v>
      </c>
      <c r="AB30" s="31" t="str">
        <f t="shared" ca="1" si="7"/>
        <v>N/A</v>
      </c>
      <c r="AC30" s="31" t="str">
        <f t="shared" ca="1" si="7"/>
        <v>N/A</v>
      </c>
      <c r="AD30" s="31" t="str">
        <f t="shared" ca="1" si="7"/>
        <v>N/A</v>
      </c>
      <c r="AE30" s="31" t="str">
        <f t="shared" ca="1" si="7"/>
        <v>N/A</v>
      </c>
      <c r="AF30" s="31" t="str">
        <f t="shared" ca="1" si="7"/>
        <v>N/A</v>
      </c>
    </row>
    <row r="31" spans="1:32">
      <c r="A31" s="29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>
      <c r="A32" s="29" t="s">
        <v>42</v>
      </c>
      <c r="B32" s="30" t="s">
        <v>43</v>
      </c>
      <c r="C32" s="31" t="str">
        <f t="shared" ref="C32:AF32" ca="1" si="8">IFERROR(INDIRECT("'"&amp;TEXT(C$3,"mmm d")&amp;"'!"&amp;$B32),"N/A")</f>
        <v>N/A</v>
      </c>
      <c r="D32" s="31" t="str">
        <f t="shared" ca="1" si="8"/>
        <v>N/A</v>
      </c>
      <c r="E32" s="31" t="str">
        <f t="shared" ca="1" si="8"/>
        <v>N/A</v>
      </c>
      <c r="F32" s="31" t="str">
        <f t="shared" ca="1" si="8"/>
        <v>N/A</v>
      </c>
      <c r="G32" s="31" t="str">
        <f t="shared" ca="1" si="8"/>
        <v>N/A</v>
      </c>
      <c r="H32" s="31" t="str">
        <f t="shared" ca="1" si="8"/>
        <v>N/A</v>
      </c>
      <c r="I32" s="31" t="str">
        <f t="shared" ca="1" si="8"/>
        <v>N/A</v>
      </c>
      <c r="J32" s="31" t="str">
        <f t="shared" ca="1" si="8"/>
        <v>N/A</v>
      </c>
      <c r="K32" s="31" t="str">
        <f t="shared" ca="1" si="8"/>
        <v>N/A</v>
      </c>
      <c r="L32" s="31" t="str">
        <f t="shared" ca="1" si="8"/>
        <v>N/A</v>
      </c>
      <c r="M32" s="31" t="str">
        <f t="shared" ca="1" si="8"/>
        <v>N/A</v>
      </c>
      <c r="N32" s="31" t="str">
        <f t="shared" ca="1" si="8"/>
        <v>N/A</v>
      </c>
      <c r="O32" s="31" t="str">
        <f t="shared" ca="1" si="8"/>
        <v>N/A</v>
      </c>
      <c r="P32" s="31" t="str">
        <f t="shared" ca="1" si="8"/>
        <v>N/A</v>
      </c>
      <c r="Q32" s="31" t="str">
        <f t="shared" ca="1" si="8"/>
        <v>N/A</v>
      </c>
      <c r="R32" s="31" t="str">
        <f t="shared" ca="1" si="8"/>
        <v>N/A</v>
      </c>
      <c r="S32" s="31" t="str">
        <f t="shared" ca="1" si="8"/>
        <v>N/A</v>
      </c>
      <c r="T32" s="31" t="str">
        <f t="shared" ca="1" si="8"/>
        <v>N/A</v>
      </c>
      <c r="U32" s="31" t="str">
        <f t="shared" ca="1" si="8"/>
        <v>N/A</v>
      </c>
      <c r="V32" s="31" t="str">
        <f t="shared" ca="1" si="8"/>
        <v>N/A</v>
      </c>
      <c r="W32" s="31" t="str">
        <f t="shared" ca="1" si="8"/>
        <v>N/A</v>
      </c>
      <c r="X32" s="31" t="str">
        <f t="shared" ca="1" si="8"/>
        <v>N/A</v>
      </c>
      <c r="Y32" s="31" t="str">
        <f t="shared" ca="1" si="8"/>
        <v>N/A</v>
      </c>
      <c r="Z32" s="31" t="str">
        <f t="shared" ca="1" si="8"/>
        <v>N/A</v>
      </c>
      <c r="AA32" s="31" t="str">
        <f t="shared" ca="1" si="8"/>
        <v>N/A</v>
      </c>
      <c r="AB32" s="31" t="str">
        <f t="shared" ca="1" si="8"/>
        <v>N/A</v>
      </c>
      <c r="AC32" s="31" t="str">
        <f t="shared" ca="1" si="8"/>
        <v>N/A</v>
      </c>
      <c r="AD32" s="31" t="str">
        <f t="shared" ca="1" si="8"/>
        <v>N/A</v>
      </c>
      <c r="AE32" s="31" t="str">
        <f t="shared" ca="1" si="8"/>
        <v>N/A</v>
      </c>
      <c r="AF32" s="31" t="str">
        <f t="shared" ca="1" si="8"/>
        <v>N/A</v>
      </c>
    </row>
    <row r="33" spans="1:1">
      <c r="A33" s="35" t="s">
        <v>44</v>
      </c>
    </row>
    <row r="34" spans="1:1">
      <c r="A34" s="36" t="s">
        <v>45</v>
      </c>
    </row>
  </sheetData>
  <pageMargins left="0.25" right="0.25" top="0.75" bottom="0.75" header="0.3" footer="0.3"/>
  <pageSetup paperSize="9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EC73-7CA8-47BE-9E30-3C4376FF8E8E}">
  <sheetPr>
    <tabColor rgb="FF7030A0"/>
    <pageSetUpPr fitToPage="1"/>
  </sheetPr>
  <dimension ref="A1:U143"/>
  <sheetViews>
    <sheetView showGridLines="0" tabSelected="1" workbookViewId="0">
      <pane xSplit="3" ySplit="13" topLeftCell="L21" activePane="bottomRight" state="frozen"/>
      <selection activeCell="R29" sqref="R29"/>
      <selection pane="topRight" activeCell="R29" sqref="R29"/>
      <selection pane="bottomLeft" activeCell="R29" sqref="R29"/>
      <selection pane="bottomRight" activeCell="A26" sqref="A26:R29"/>
    </sheetView>
  </sheetViews>
  <sheetFormatPr defaultColWidth="9" defaultRowHeight="15"/>
  <cols>
    <col min="1" max="3" width="13.42578125" customWidth="1"/>
    <col min="4" max="4" width="12" customWidth="1"/>
    <col min="5" max="5" width="13" customWidth="1"/>
    <col min="6" max="6" width="32.140625" customWidth="1"/>
    <col min="7" max="7" width="15.85546875" customWidth="1"/>
    <col min="8" max="8" width="13.85546875" customWidth="1"/>
    <col min="9" max="9" width="25.28515625" customWidth="1"/>
    <col min="10" max="10" width="20" customWidth="1"/>
    <col min="11" max="11" width="37.42578125" customWidth="1"/>
    <col min="12" max="12" width="23.140625" customWidth="1"/>
    <col min="13" max="13" width="14.28515625" customWidth="1"/>
    <col min="14" max="14" width="7.7109375" customWidth="1"/>
    <col min="15" max="15" width="22.28515625" customWidth="1"/>
    <col min="16" max="16" width="33.42578125" customWidth="1"/>
    <col min="17" max="18" width="12.42578125" customWidth="1"/>
    <col min="19" max="19" width="10.140625" customWidth="1"/>
    <col min="20" max="20" width="22.85546875" style="3" customWidth="1"/>
    <col min="21" max="21" width="16.85546875" customWidth="1"/>
  </cols>
  <sheetData>
    <row r="1" spans="1:21">
      <c r="C1" s="4" t="s">
        <v>12</v>
      </c>
      <c r="D1" s="4"/>
      <c r="E1" s="4"/>
      <c r="G1" s="4" t="s">
        <v>31</v>
      </c>
      <c r="J1" s="4" t="s">
        <v>46</v>
      </c>
    </row>
    <row r="2" spans="1:21">
      <c r="A2" s="5" t="s">
        <v>2</v>
      </c>
      <c r="C2" s="5" t="s">
        <v>13</v>
      </c>
      <c r="D2" s="6">
        <f t="shared" ref="D2:D6" si="0">COUNTIF($G$14:$G$143,C2)</f>
        <v>0</v>
      </c>
      <c r="G2" s="5" t="s">
        <v>32</v>
      </c>
      <c r="H2" s="6">
        <f>COUNTIF($I$14:$I$143,"landbased (newhire)")</f>
        <v>0</v>
      </c>
      <c r="J2" s="5" t="s">
        <v>47</v>
      </c>
      <c r="K2" s="6">
        <f>COUNTIF($K$14:$K$143,"information sheet")</f>
        <v>0</v>
      </c>
    </row>
    <row r="3" spans="1:21">
      <c r="A3" s="6">
        <f>COUNTA(A14:A143)</f>
        <v>0</v>
      </c>
      <c r="C3" s="5" t="s">
        <v>15</v>
      </c>
      <c r="D3" s="6">
        <f t="shared" si="0"/>
        <v>0</v>
      </c>
      <c r="G3" s="5" t="s">
        <v>34</v>
      </c>
      <c r="H3" s="6">
        <f>COUNTIF($I$14:$I$143,"rehire (balik manggagawa)")</f>
        <v>0</v>
      </c>
      <c r="J3" s="5" t="s">
        <v>48</v>
      </c>
      <c r="K3" s="6">
        <f>COUNTIF($K$14:$K$143,J3)</f>
        <v>0</v>
      </c>
    </row>
    <row r="4" spans="1:21">
      <c r="C4" s="5" t="s">
        <v>17</v>
      </c>
      <c r="D4" s="6">
        <f t="shared" si="0"/>
        <v>0</v>
      </c>
      <c r="G4" s="5" t="s">
        <v>36</v>
      </c>
      <c r="H4" s="6">
        <f>COUNTIF($I$14:$I$143,G4)</f>
        <v>0</v>
      </c>
      <c r="J4" s="5" t="s">
        <v>49</v>
      </c>
      <c r="K4" s="6">
        <f>COUNTIF($K$14:$K$143,"employment contract (name-hire or gpb only)")</f>
        <v>0</v>
      </c>
    </row>
    <row r="5" spans="1:21">
      <c r="A5" s="5" t="s">
        <v>4</v>
      </c>
      <c r="C5" s="5" t="s">
        <v>19</v>
      </c>
      <c r="D5" s="6">
        <f t="shared" si="0"/>
        <v>0</v>
      </c>
      <c r="G5" s="4"/>
    </row>
    <row r="6" spans="1:21">
      <c r="A6" s="6">
        <f>COUNTIF(D14:D143,"Male")</f>
        <v>0</v>
      </c>
      <c r="C6" s="5" t="s">
        <v>21</v>
      </c>
      <c r="D6" s="6">
        <f t="shared" si="0"/>
        <v>0</v>
      </c>
      <c r="G6" s="5" t="s">
        <v>8</v>
      </c>
      <c r="H6" s="7">
        <f>MAX(S14:S143)</f>
        <v>0</v>
      </c>
      <c r="J6" s="5" t="s">
        <v>42</v>
      </c>
      <c r="K6" s="6">
        <f>SUM(P14:P143)</f>
        <v>0</v>
      </c>
    </row>
    <row r="7" spans="1:21">
      <c r="C7" s="5" t="s">
        <v>23</v>
      </c>
      <c r="D7" s="6">
        <f>COUNTIF($G$14:$G$143,"Balik Manggagawa")</f>
        <v>0</v>
      </c>
      <c r="G7" s="5" t="s">
        <v>10</v>
      </c>
      <c r="H7" s="7">
        <f>MIN(S17:S146)</f>
        <v>0</v>
      </c>
    </row>
    <row r="8" spans="1:21">
      <c r="A8" s="5" t="s">
        <v>6</v>
      </c>
      <c r="C8" s="5" t="s">
        <v>25</v>
      </c>
      <c r="D8" s="6">
        <f>COUNTIF($G$14:$G$143,"Reduced Travel Tax")</f>
        <v>0</v>
      </c>
      <c r="G8" s="8"/>
      <c r="H8" s="9"/>
    </row>
    <row r="9" spans="1:21">
      <c r="A9" s="6">
        <f>COUNTIF(D14:D143,"Female")</f>
        <v>0</v>
      </c>
      <c r="C9" s="5" t="s">
        <v>27</v>
      </c>
      <c r="D9" s="6">
        <f>COUNTIF($G$14:$G$143,C9)</f>
        <v>0</v>
      </c>
      <c r="G9" s="8"/>
      <c r="H9" s="9"/>
    </row>
    <row r="10" spans="1:21">
      <c r="C10" s="5" t="s">
        <v>29</v>
      </c>
      <c r="D10" s="6">
        <f>COUNTIF($G$14:$G$143,C10)</f>
        <v>0</v>
      </c>
      <c r="G10" s="8"/>
      <c r="H10" s="9"/>
    </row>
    <row r="12" spans="1:21" s="1" customFormat="1" ht="15" customHeight="1">
      <c r="A12" s="49" t="s">
        <v>50</v>
      </c>
      <c r="B12" s="51" t="s">
        <v>51</v>
      </c>
      <c r="C12" s="51" t="s">
        <v>52</v>
      </c>
      <c r="D12" s="51" t="s">
        <v>53</v>
      </c>
      <c r="E12" s="51" t="s">
        <v>54</v>
      </c>
      <c r="F12" s="51" t="s">
        <v>55</v>
      </c>
      <c r="G12" s="51" t="s">
        <v>12</v>
      </c>
      <c r="H12" s="51" t="s">
        <v>56</v>
      </c>
      <c r="I12" s="40" t="s">
        <v>31</v>
      </c>
      <c r="J12" s="40" t="s">
        <v>57</v>
      </c>
      <c r="K12" s="40" t="s">
        <v>46</v>
      </c>
      <c r="L12" s="40" t="s">
        <v>58</v>
      </c>
      <c r="M12" s="40" t="s">
        <v>59</v>
      </c>
      <c r="N12" s="42" t="s">
        <v>60</v>
      </c>
      <c r="O12" s="42"/>
      <c r="P12" s="42"/>
      <c r="Q12" s="43" t="s">
        <v>61</v>
      </c>
      <c r="R12" s="45" t="s">
        <v>62</v>
      </c>
      <c r="S12" s="47" t="s">
        <v>63</v>
      </c>
      <c r="T12" s="47" t="s">
        <v>64</v>
      </c>
      <c r="U12" s="38" t="s">
        <v>56</v>
      </c>
    </row>
    <row r="13" spans="1:21" s="1" customFormat="1">
      <c r="A13" s="50"/>
      <c r="B13" s="52"/>
      <c r="C13" s="52"/>
      <c r="D13" s="52"/>
      <c r="E13" s="52"/>
      <c r="F13" s="52"/>
      <c r="G13" s="52"/>
      <c r="H13" s="52"/>
      <c r="I13" s="41"/>
      <c r="J13" s="41"/>
      <c r="K13" s="41"/>
      <c r="L13" s="41"/>
      <c r="M13" s="41"/>
      <c r="N13" s="12" t="s">
        <v>65</v>
      </c>
      <c r="O13" s="12" t="s">
        <v>66</v>
      </c>
      <c r="P13" s="12" t="s">
        <v>67</v>
      </c>
      <c r="Q13" s="44"/>
      <c r="R13" s="46"/>
      <c r="S13" s="48"/>
      <c r="T13" s="48"/>
      <c r="U13" s="39"/>
    </row>
    <row r="14" spans="1:21" s="2" customFormat="1" ht="1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3"/>
      <c r="R14" s="13"/>
      <c r="S14" s="13"/>
      <c r="T14" s="14"/>
      <c r="U14" s="15"/>
    </row>
    <row r="15" spans="1:2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3"/>
      <c r="R15" s="13"/>
      <c r="S15" s="13"/>
      <c r="T15" s="14"/>
      <c r="U15" s="15"/>
    </row>
    <row r="16" spans="1:2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3"/>
      <c r="R16" s="13"/>
      <c r="S16" s="13"/>
      <c r="T16" s="14"/>
      <c r="U16" s="15"/>
    </row>
    <row r="17" spans="1:2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3"/>
      <c r="R17" s="13"/>
      <c r="S17" s="13"/>
      <c r="T17" s="14"/>
      <c r="U17" s="15"/>
    </row>
    <row r="18" spans="1:2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3"/>
      <c r="R18" s="13"/>
      <c r="S18" s="13"/>
      <c r="T18" s="14"/>
      <c r="U18" s="15"/>
    </row>
    <row r="19" spans="1:2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3"/>
      <c r="R19" s="13"/>
      <c r="S19" s="13"/>
      <c r="T19" s="14"/>
      <c r="U19" s="15"/>
    </row>
    <row r="20" spans="1:2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3"/>
      <c r="R20" s="13"/>
      <c r="S20" s="13"/>
      <c r="T20" s="14"/>
      <c r="U20" s="15"/>
    </row>
    <row r="21" spans="1:2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3"/>
      <c r="R21" s="13"/>
      <c r="S21" s="13"/>
      <c r="T21" s="14"/>
      <c r="U21" s="15"/>
    </row>
    <row r="22" spans="1:2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3"/>
      <c r="R22" s="13"/>
      <c r="S22" s="13"/>
      <c r="T22" s="14"/>
      <c r="U22" s="15"/>
    </row>
    <row r="23" spans="1:2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13"/>
      <c r="S23" s="13"/>
      <c r="T23" s="14"/>
      <c r="U23" s="15"/>
    </row>
    <row r="24" spans="1:2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3"/>
      <c r="R24" s="13"/>
      <c r="S24" s="13"/>
      <c r="T24" s="14"/>
      <c r="U24" s="15"/>
    </row>
    <row r="25" spans="1:2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3"/>
      <c r="R25" s="13"/>
      <c r="S25" s="13"/>
      <c r="T25" s="14"/>
      <c r="U25" s="15"/>
    </row>
    <row r="26" spans="1:2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3"/>
      <c r="R26" s="13"/>
      <c r="S26" s="13"/>
      <c r="T26" s="14"/>
      <c r="U26" s="15"/>
    </row>
    <row r="27" spans="1:2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3"/>
      <c r="R27" s="13"/>
      <c r="S27" s="13"/>
      <c r="T27" s="14"/>
      <c r="U27" s="15"/>
    </row>
    <row r="28" spans="1:2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3"/>
      <c r="S28" s="13"/>
      <c r="T28" s="14"/>
      <c r="U28" s="15"/>
    </row>
    <row r="29" spans="1:2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3"/>
      <c r="R29" s="13"/>
      <c r="S29" s="13"/>
      <c r="T29" s="14"/>
      <c r="U29" s="15"/>
    </row>
    <row r="30" spans="1:2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3"/>
      <c r="R30" s="13"/>
      <c r="S30" s="13"/>
      <c r="T30" s="14"/>
      <c r="U30" s="15"/>
    </row>
    <row r="31" spans="1:2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3"/>
      <c r="R31" s="13"/>
      <c r="S31" s="13"/>
      <c r="T31" s="14"/>
      <c r="U31" s="15"/>
    </row>
    <row r="32" spans="1:2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3"/>
      <c r="R32" s="13"/>
      <c r="S32" s="13"/>
      <c r="T32" s="14"/>
      <c r="U32" s="15"/>
    </row>
    <row r="33" spans="1:2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3"/>
      <c r="R33" s="13"/>
      <c r="S33" s="13"/>
      <c r="T33" s="14"/>
      <c r="U33" s="15"/>
    </row>
    <row r="34" spans="1:2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3"/>
      <c r="R34" s="13"/>
      <c r="S34" s="13"/>
      <c r="T34" s="14"/>
      <c r="U34" s="15"/>
    </row>
    <row r="35" spans="1:2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3"/>
      <c r="R35" s="13"/>
      <c r="S35" s="13"/>
      <c r="T35" s="14"/>
      <c r="U35" s="15"/>
    </row>
    <row r="36" spans="1:2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3"/>
      <c r="R36" s="13"/>
      <c r="S36" s="13"/>
      <c r="T36" s="14"/>
      <c r="U36" s="15"/>
    </row>
    <row r="37" spans="1:2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3"/>
      <c r="R37" s="13"/>
      <c r="S37" s="13"/>
      <c r="T37" s="14"/>
      <c r="U37" s="15"/>
    </row>
    <row r="38" spans="1:2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3"/>
      <c r="R38" s="13"/>
      <c r="S38" s="13"/>
      <c r="T38" s="14"/>
      <c r="U38" s="15"/>
    </row>
    <row r="39" spans="1:2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3"/>
      <c r="R39" s="13"/>
      <c r="S39" s="13"/>
      <c r="T39" s="14"/>
      <c r="U39" s="15"/>
    </row>
    <row r="40" spans="1:2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3"/>
      <c r="R40" s="13"/>
      <c r="S40" s="13"/>
      <c r="T40" s="14"/>
      <c r="U40" s="15"/>
    </row>
    <row r="41" spans="1:2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3"/>
      <c r="R41" s="13"/>
      <c r="S41" s="13"/>
      <c r="T41" s="14"/>
      <c r="U41" s="15"/>
    </row>
    <row r="42" spans="1:2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3"/>
      <c r="R42" s="13"/>
      <c r="S42" s="13"/>
      <c r="T42" s="14"/>
      <c r="U42" s="15"/>
    </row>
    <row r="43" spans="1:2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3"/>
      <c r="R43" s="13"/>
      <c r="S43" s="13"/>
      <c r="T43" s="14"/>
      <c r="U43" s="15"/>
    </row>
    <row r="44" spans="1:2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3"/>
      <c r="R44" s="13"/>
      <c r="S44" s="13"/>
      <c r="T44" s="14"/>
      <c r="U44" s="15"/>
    </row>
    <row r="45" spans="1:2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3"/>
      <c r="R45" s="13"/>
      <c r="S45" s="13"/>
      <c r="T45" s="14"/>
      <c r="U45" s="15"/>
    </row>
    <row r="46" spans="1:2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3"/>
      <c r="R46" s="13"/>
      <c r="S46" s="13"/>
      <c r="T46" s="14"/>
      <c r="U46" s="15"/>
    </row>
    <row r="47" spans="1:2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3"/>
      <c r="R47" s="13"/>
      <c r="S47" s="13"/>
      <c r="T47" s="14"/>
      <c r="U47" s="15"/>
    </row>
    <row r="48" spans="1:2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3"/>
      <c r="R48" s="13"/>
      <c r="S48" s="13"/>
      <c r="T48" s="14"/>
      <c r="U48" s="15"/>
    </row>
    <row r="49" spans="1:21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3"/>
      <c r="R49" s="13"/>
      <c r="S49" s="13"/>
      <c r="T49" s="14"/>
      <c r="U49" s="15"/>
    </row>
    <row r="50" spans="1:2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3"/>
      <c r="R50" s="13"/>
      <c r="S50" s="13"/>
      <c r="T50" s="14"/>
      <c r="U50" s="15"/>
    </row>
    <row r="51" spans="1:2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3"/>
      <c r="R51" s="13"/>
      <c r="S51" s="13"/>
      <c r="T51" s="14"/>
      <c r="U51" s="15"/>
    </row>
    <row r="52" spans="1:2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3"/>
      <c r="R52" s="13"/>
      <c r="S52" s="13"/>
      <c r="T52" s="14"/>
      <c r="U52" s="15"/>
    </row>
    <row r="53" spans="1:21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3"/>
      <c r="R53" s="13"/>
      <c r="S53" s="13"/>
      <c r="T53" s="14"/>
      <c r="U53" s="15"/>
    </row>
    <row r="54" spans="1:2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3"/>
      <c r="R54" s="13"/>
      <c r="S54" s="13"/>
      <c r="T54" s="14"/>
      <c r="U54" s="15"/>
    </row>
    <row r="55" spans="1:2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3"/>
      <c r="R55" s="13"/>
      <c r="S55" s="13"/>
      <c r="T55" s="14"/>
      <c r="U55" s="15"/>
    </row>
    <row r="56" spans="1:21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3"/>
      <c r="R56" s="13"/>
      <c r="S56" s="13"/>
      <c r="T56" s="14"/>
      <c r="U56" s="15"/>
    </row>
    <row r="57" spans="1:2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3"/>
      <c r="R57" s="13"/>
      <c r="S57" s="13"/>
      <c r="T57" s="14"/>
      <c r="U57" s="15"/>
    </row>
    <row r="58" spans="1:21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3"/>
      <c r="R58" s="13"/>
      <c r="S58" s="13"/>
      <c r="T58" s="14"/>
      <c r="U58" s="15"/>
    </row>
    <row r="59" spans="1:2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3"/>
      <c r="R59" s="13"/>
      <c r="S59" s="13"/>
      <c r="T59" s="14"/>
      <c r="U59" s="15"/>
    </row>
    <row r="60" spans="1:21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3"/>
      <c r="R60" s="13"/>
      <c r="S60" s="13"/>
      <c r="T60" s="14"/>
      <c r="U60" s="15"/>
    </row>
    <row r="61" spans="1:2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3"/>
      <c r="R61" s="13"/>
      <c r="S61" s="13"/>
      <c r="T61" s="14"/>
      <c r="U61" s="15"/>
    </row>
    <row r="62" spans="1:21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3"/>
      <c r="R62" s="13"/>
      <c r="S62" s="13"/>
      <c r="T62" s="14"/>
      <c r="U62" s="15"/>
    </row>
    <row r="63" spans="1:21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3"/>
      <c r="R63" s="13"/>
      <c r="S63" s="13"/>
      <c r="T63" s="14"/>
      <c r="U63" s="15"/>
    </row>
    <row r="64" spans="1:21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3"/>
      <c r="R64" s="13"/>
      <c r="S64" s="13"/>
      <c r="T64" s="14"/>
      <c r="U64" s="15"/>
    </row>
    <row r="65" spans="1:2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3"/>
      <c r="R65" s="13"/>
      <c r="S65" s="13"/>
      <c r="T65" s="14"/>
      <c r="U65" s="15"/>
    </row>
    <row r="66" spans="1:21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3"/>
      <c r="R66" s="13"/>
      <c r="S66" s="13"/>
      <c r="T66" s="14"/>
      <c r="U66" s="15"/>
    </row>
    <row r="67" spans="1:21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3"/>
      <c r="R67" s="13"/>
      <c r="S67" s="13"/>
      <c r="T67" s="14"/>
      <c r="U67" s="15"/>
    </row>
    <row r="68" spans="1:21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3"/>
      <c r="R68" s="13"/>
      <c r="S68" s="13"/>
      <c r="T68" s="14"/>
      <c r="U68" s="15"/>
    </row>
    <row r="69" spans="1:21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3"/>
      <c r="R69" s="13"/>
      <c r="S69" s="13"/>
      <c r="T69" s="14"/>
      <c r="U69" s="15"/>
    </row>
    <row r="70" spans="1:21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3"/>
      <c r="R70" s="13"/>
      <c r="S70" s="13"/>
      <c r="T70" s="14"/>
      <c r="U70" s="15"/>
    </row>
    <row r="71" spans="1:2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3"/>
      <c r="R71" s="13"/>
      <c r="S71" s="13"/>
      <c r="T71" s="14"/>
      <c r="U71" s="15"/>
    </row>
    <row r="72" spans="1:21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3"/>
      <c r="R72" s="13"/>
      <c r="S72" s="13"/>
      <c r="T72" s="14"/>
      <c r="U72" s="15"/>
    </row>
    <row r="73" spans="1:21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3"/>
      <c r="R73" s="13"/>
      <c r="S73" s="13"/>
      <c r="T73" s="14"/>
      <c r="U73" s="15"/>
    </row>
    <row r="74" spans="1:21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3"/>
      <c r="R74" s="13"/>
      <c r="S74" s="13"/>
      <c r="T74" s="14"/>
      <c r="U74" s="15"/>
    </row>
    <row r="75" spans="1:2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3"/>
      <c r="R75" s="13"/>
      <c r="S75" s="13"/>
      <c r="T75" s="14"/>
      <c r="U75" s="15"/>
    </row>
    <row r="76" spans="1:2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3"/>
      <c r="R76" s="13"/>
      <c r="S76" s="13"/>
      <c r="T76" s="14"/>
      <c r="U76" s="15"/>
    </row>
    <row r="77" spans="1:2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3"/>
      <c r="R77" s="13"/>
      <c r="S77" s="13"/>
      <c r="T77" s="14"/>
      <c r="U77" s="15"/>
    </row>
    <row r="78" spans="1:21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3"/>
      <c r="R78" s="13"/>
      <c r="S78" s="13"/>
      <c r="T78" s="14"/>
      <c r="U78" s="15"/>
    </row>
    <row r="79" spans="1:21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3"/>
      <c r="R79" s="13"/>
      <c r="S79" s="13"/>
      <c r="T79" s="14"/>
      <c r="U79" s="15"/>
    </row>
    <row r="80" spans="1:21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3"/>
      <c r="R80" s="13"/>
      <c r="S80" s="13"/>
      <c r="T80" s="14"/>
      <c r="U80" s="15"/>
    </row>
    <row r="81" spans="1:2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3"/>
      <c r="R81" s="13"/>
      <c r="S81" s="13"/>
      <c r="T81" s="14"/>
      <c r="U81" s="15"/>
    </row>
    <row r="82" spans="1:21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3"/>
      <c r="R82" s="13"/>
      <c r="S82" s="13"/>
      <c r="T82" s="14"/>
      <c r="U82" s="15"/>
    </row>
    <row r="83" spans="1:21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3"/>
      <c r="R83" s="13"/>
      <c r="S83" s="13"/>
      <c r="T83" s="14"/>
      <c r="U83" s="15"/>
    </row>
    <row r="84" spans="1:21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3"/>
      <c r="R84" s="13"/>
      <c r="S84" s="13"/>
      <c r="T84" s="14"/>
      <c r="U84" s="15"/>
    </row>
    <row r="85" spans="1:21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3"/>
      <c r="R85" s="13"/>
      <c r="S85" s="13"/>
      <c r="T85" s="14"/>
      <c r="U85" s="15"/>
    </row>
    <row r="86" spans="1:21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3"/>
      <c r="R86" s="13"/>
      <c r="S86" s="13"/>
      <c r="T86" s="14"/>
      <c r="U86" s="15"/>
    </row>
    <row r="87" spans="1:21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3"/>
      <c r="R87" s="13"/>
      <c r="S87" s="13"/>
      <c r="T87" s="14"/>
      <c r="U87" s="15"/>
    </row>
    <row r="88" spans="1:21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3"/>
      <c r="R88" s="13"/>
      <c r="S88" s="13"/>
      <c r="T88" s="14"/>
      <c r="U88" s="15"/>
    </row>
    <row r="89" spans="1:21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3"/>
      <c r="R89" s="13"/>
      <c r="S89" s="13"/>
      <c r="T89" s="14"/>
      <c r="U89" s="15"/>
    </row>
    <row r="90" spans="1:21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3"/>
      <c r="R90" s="13"/>
      <c r="S90" s="13"/>
      <c r="T90" s="14"/>
      <c r="U90" s="15"/>
    </row>
    <row r="91" spans="1:2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3"/>
      <c r="R91" s="13"/>
      <c r="S91" s="13"/>
      <c r="T91" s="14"/>
      <c r="U91" s="15"/>
    </row>
    <row r="92" spans="1:21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3"/>
      <c r="R92" s="13"/>
      <c r="S92" s="13"/>
      <c r="T92" s="14"/>
      <c r="U92" s="15"/>
    </row>
    <row r="93" spans="1:2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3"/>
      <c r="R93" s="13"/>
      <c r="S93" s="13"/>
      <c r="T93" s="14"/>
      <c r="U93" s="15"/>
    </row>
    <row r="94" spans="1:2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3"/>
      <c r="R94" s="13"/>
      <c r="S94" s="13"/>
      <c r="T94" s="14"/>
      <c r="U94" s="15"/>
    </row>
    <row r="95" spans="1:2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3"/>
      <c r="R95" s="13"/>
      <c r="S95" s="13"/>
      <c r="T95" s="14"/>
      <c r="U95" s="15"/>
    </row>
    <row r="96" spans="1:2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3"/>
      <c r="R96" s="13"/>
      <c r="S96" s="13"/>
      <c r="T96" s="14"/>
      <c r="U96" s="15"/>
    </row>
    <row r="97" spans="1:2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3"/>
      <c r="R97" s="13"/>
      <c r="S97" s="13"/>
      <c r="T97" s="14"/>
      <c r="U97" s="15"/>
    </row>
    <row r="98" spans="1:2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3"/>
      <c r="R98" s="13"/>
      <c r="S98" s="13"/>
      <c r="T98" s="14"/>
      <c r="U98" s="15"/>
    </row>
    <row r="99" spans="1:2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3"/>
      <c r="R99" s="13"/>
      <c r="S99" s="13"/>
      <c r="T99" s="14"/>
      <c r="U99" s="15"/>
    </row>
    <row r="100" spans="1:2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3"/>
      <c r="R100" s="13"/>
      <c r="S100" s="13"/>
      <c r="T100" s="14"/>
      <c r="U100" s="15"/>
    </row>
    <row r="101" spans="1:2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3"/>
      <c r="R101" s="13"/>
      <c r="S101" s="13"/>
      <c r="T101" s="14"/>
      <c r="U101" s="15"/>
    </row>
    <row r="102" spans="1:2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3"/>
      <c r="R102" s="13"/>
      <c r="S102" s="13"/>
      <c r="T102" s="14"/>
      <c r="U102" s="15"/>
    </row>
    <row r="103" spans="1:21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3"/>
      <c r="R103" s="13"/>
      <c r="S103" s="13"/>
      <c r="T103" s="14"/>
      <c r="U103" s="15"/>
    </row>
    <row r="104" spans="1:21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3"/>
      <c r="R104" s="13"/>
      <c r="S104" s="13"/>
      <c r="T104" s="14"/>
      <c r="U104" s="15"/>
    </row>
    <row r="105" spans="1:2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3"/>
      <c r="R105" s="13"/>
      <c r="S105" s="13"/>
      <c r="T105" s="14"/>
      <c r="U105" s="15"/>
    </row>
    <row r="106" spans="1:2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3"/>
      <c r="R106" s="13"/>
      <c r="S106" s="13"/>
      <c r="T106" s="14"/>
      <c r="U106" s="15"/>
    </row>
    <row r="107" spans="1:2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3"/>
      <c r="R107" s="13"/>
      <c r="S107" s="13"/>
      <c r="T107" s="14"/>
      <c r="U107" s="15"/>
    </row>
    <row r="108" spans="1:2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3"/>
      <c r="R108" s="13"/>
      <c r="S108" s="13"/>
      <c r="T108" s="14"/>
      <c r="U108" s="15"/>
    </row>
    <row r="109" spans="1:2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3"/>
      <c r="R109" s="13"/>
      <c r="S109" s="13"/>
      <c r="T109" s="14"/>
      <c r="U109" s="15"/>
    </row>
    <row r="110" spans="1:2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3"/>
      <c r="R110" s="13"/>
      <c r="S110" s="13"/>
      <c r="T110" s="14"/>
      <c r="U110" s="15"/>
    </row>
    <row r="111" spans="1:21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3"/>
      <c r="R111" s="13"/>
      <c r="S111" s="13"/>
      <c r="T111" s="14"/>
      <c r="U111" s="15"/>
    </row>
    <row r="112" spans="1:21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3"/>
      <c r="R112" s="13"/>
      <c r="S112" s="13"/>
      <c r="T112" s="14"/>
      <c r="U112" s="15"/>
    </row>
    <row r="113" spans="1:21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3"/>
      <c r="R113" s="13"/>
      <c r="S113" s="13"/>
      <c r="T113" s="14"/>
      <c r="U113" s="15"/>
    </row>
    <row r="114" spans="1:2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3"/>
      <c r="R114" s="13"/>
      <c r="S114" s="13"/>
      <c r="T114" s="14"/>
      <c r="U114" s="15"/>
    </row>
    <row r="115" spans="1:21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3"/>
      <c r="R115" s="13"/>
      <c r="S115" s="13"/>
      <c r="T115" s="14"/>
      <c r="U115" s="15"/>
    </row>
    <row r="116" spans="1:21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3"/>
      <c r="R116" s="13"/>
      <c r="S116" s="13"/>
      <c r="T116" s="14"/>
      <c r="U116" s="15"/>
    </row>
    <row r="117" spans="1:21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3"/>
      <c r="R117" s="13"/>
      <c r="S117" s="13"/>
      <c r="T117" s="14"/>
      <c r="U117" s="15"/>
    </row>
    <row r="118" spans="1:21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3"/>
      <c r="R118" s="13"/>
      <c r="S118" s="13"/>
      <c r="T118" s="14"/>
      <c r="U118" s="15"/>
    </row>
    <row r="119" spans="1:21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3"/>
      <c r="R119" s="13"/>
      <c r="S119" s="13"/>
      <c r="T119" s="14"/>
      <c r="U119" s="15"/>
    </row>
    <row r="120" spans="1:21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3"/>
      <c r="R120" s="13"/>
      <c r="S120" s="13"/>
      <c r="T120" s="14"/>
      <c r="U120" s="15"/>
    </row>
    <row r="121" spans="1:21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3"/>
      <c r="R121" s="13"/>
      <c r="S121" s="13"/>
      <c r="T121" s="14"/>
      <c r="U121" s="15"/>
    </row>
    <row r="122" spans="1:21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3"/>
      <c r="R122" s="13"/>
      <c r="S122" s="13"/>
      <c r="T122" s="14"/>
      <c r="U122" s="15"/>
    </row>
    <row r="123" spans="1:21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3"/>
      <c r="R123" s="13"/>
      <c r="S123" s="13"/>
      <c r="T123" s="14"/>
      <c r="U123" s="15"/>
    </row>
    <row r="124" spans="1:21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3"/>
      <c r="R124" s="13"/>
      <c r="S124" s="13"/>
      <c r="T124" s="14"/>
      <c r="U124" s="15"/>
    </row>
    <row r="125" spans="1:21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3"/>
      <c r="R125" s="13"/>
      <c r="S125" s="13"/>
      <c r="T125" s="14"/>
      <c r="U125" s="15"/>
    </row>
    <row r="126" spans="1:21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3"/>
      <c r="R126" s="13"/>
      <c r="S126" s="13"/>
      <c r="T126" s="14"/>
      <c r="U126" s="15"/>
    </row>
    <row r="127" spans="1:21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3"/>
      <c r="R127" s="13"/>
      <c r="S127" s="13"/>
      <c r="T127" s="14"/>
      <c r="U127" s="15"/>
    </row>
    <row r="128" spans="1:21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3"/>
      <c r="R128" s="13"/>
      <c r="S128" s="13"/>
      <c r="T128" s="14"/>
      <c r="U128" s="15"/>
    </row>
    <row r="129" spans="1:21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3"/>
      <c r="R129" s="13"/>
      <c r="S129" s="13"/>
      <c r="T129" s="14"/>
      <c r="U129" s="15"/>
    </row>
    <row r="130" spans="1:21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3"/>
      <c r="R130" s="13"/>
      <c r="S130" s="13"/>
      <c r="T130" s="14"/>
      <c r="U130" s="15"/>
    </row>
    <row r="131" spans="1:21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3"/>
      <c r="R131" s="13"/>
      <c r="S131" s="13"/>
      <c r="T131" s="14"/>
      <c r="U131" s="15"/>
    </row>
    <row r="132" spans="1:21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3"/>
      <c r="R132" s="13"/>
      <c r="S132" s="13"/>
      <c r="T132" s="14"/>
      <c r="U132" s="15"/>
    </row>
    <row r="133" spans="1:21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3"/>
      <c r="R133" s="13"/>
      <c r="S133" s="13"/>
      <c r="T133" s="14"/>
      <c r="U133" s="15"/>
    </row>
    <row r="134" spans="1:21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3"/>
      <c r="R134" s="13"/>
      <c r="S134" s="13"/>
      <c r="T134" s="14"/>
      <c r="U134" s="15"/>
    </row>
    <row r="135" spans="1:21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3"/>
      <c r="R135" s="13"/>
      <c r="S135" s="13" t="str">
        <f t="shared" ref="S135:S143" si="1">IF(OR(Q135="",R135=""),"",R135-Q135)</f>
        <v/>
      </c>
      <c r="T135" s="14"/>
      <c r="U135" s="15"/>
    </row>
    <row r="136" spans="1:21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3"/>
      <c r="R136" s="13"/>
      <c r="S136" s="13" t="str">
        <f t="shared" si="1"/>
        <v/>
      </c>
      <c r="T136" s="14"/>
      <c r="U136" s="15"/>
    </row>
    <row r="137" spans="1:21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3"/>
      <c r="R137" s="13"/>
      <c r="S137" s="13" t="str">
        <f t="shared" si="1"/>
        <v/>
      </c>
      <c r="T137" s="14"/>
      <c r="U137" s="15"/>
    </row>
    <row r="138" spans="1:21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3"/>
      <c r="R138" s="13"/>
      <c r="S138" s="13" t="str">
        <f t="shared" si="1"/>
        <v/>
      </c>
      <c r="T138" s="14"/>
      <c r="U138" s="15"/>
    </row>
    <row r="139" spans="1:21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3"/>
      <c r="R139" s="13"/>
      <c r="S139" s="13" t="str">
        <f t="shared" si="1"/>
        <v/>
      </c>
      <c r="T139" s="14"/>
      <c r="U139" s="15"/>
    </row>
    <row r="140" spans="1:21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3"/>
      <c r="R140" s="13"/>
      <c r="S140" s="13" t="str">
        <f t="shared" si="1"/>
        <v/>
      </c>
      <c r="T140" s="14"/>
      <c r="U140" s="15"/>
    </row>
    <row r="141" spans="1:21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3"/>
      <c r="R141" s="13"/>
      <c r="S141" s="13" t="str">
        <f t="shared" si="1"/>
        <v/>
      </c>
      <c r="T141" s="14"/>
      <c r="U141" s="15"/>
    </row>
    <row r="142" spans="1:21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3"/>
      <c r="R142" s="13"/>
      <c r="S142" s="13" t="str">
        <f t="shared" si="1"/>
        <v/>
      </c>
      <c r="T142" s="14"/>
      <c r="U142" s="15"/>
    </row>
    <row r="143" spans="1:21">
      <c r="A143" s="16"/>
      <c r="B143" s="17"/>
      <c r="C143" s="17"/>
      <c r="D143" s="17"/>
      <c r="E143" s="17"/>
      <c r="F143" s="18"/>
      <c r="G143" s="18"/>
      <c r="H143" s="18"/>
      <c r="I143" s="17"/>
      <c r="J143" s="17"/>
      <c r="K143" s="17"/>
      <c r="L143" s="17"/>
      <c r="M143" s="17"/>
      <c r="N143" s="17"/>
      <c r="O143" s="17"/>
      <c r="P143" s="17"/>
      <c r="Q143" s="19"/>
      <c r="R143" s="19"/>
      <c r="S143" s="19" t="str">
        <f t="shared" si="1"/>
        <v/>
      </c>
      <c r="T143" s="20"/>
      <c r="U143" s="21"/>
    </row>
  </sheetData>
  <mergeCells count="19">
    <mergeCell ref="U12:U13"/>
    <mergeCell ref="M12:M13"/>
    <mergeCell ref="N12:P12"/>
    <mergeCell ref="Q12:Q13"/>
    <mergeCell ref="R12:R13"/>
    <mergeCell ref="S12:S13"/>
    <mergeCell ref="T12:T13"/>
    <mergeCell ref="L12:L13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conditionalFormatting sqref="H14:H143">
    <cfRule type="expression" dxfId="4" priority="2">
      <formula>$G14="Others"</formula>
    </cfRule>
  </conditionalFormatting>
  <conditionalFormatting sqref="J14:J143">
    <cfRule type="expression" dxfId="3" priority="5">
      <formula>OR(#REF!="Regional Office",#REF!="POLO")</formula>
    </cfRule>
  </conditionalFormatting>
  <conditionalFormatting sqref="M14:M143">
    <cfRule type="expression" dxfId="2" priority="4">
      <formula>OR($L14="OTHERS")</formula>
    </cfRule>
  </conditionalFormatting>
  <conditionalFormatting sqref="U14:U143">
    <cfRule type="expression" dxfId="0" priority="3">
      <formula>($T14="OTHERS")</formula>
    </cfRule>
  </conditionalFormatting>
  <dataValidations count="7">
    <dataValidation type="list" allowBlank="1" showInputMessage="1" showErrorMessage="1" sqref="T14:T143" xr:uid="{CC80A311-39CE-4CB7-9C3D-849C912109C9}">
      <formula1>"- Please Select -,Server Error,Printer Error,Re-verification,Photocopy ID/Requirements, Others"</formula1>
    </dataValidation>
    <dataValidation type="list" allowBlank="1" showInputMessage="1" showErrorMessage="1" sqref="O14:O143" xr:uid="{23E24351-ECC6-4E93-A1F9-46A87B3E569A}">
      <formula1>"- Please Select -,Print-out,Copy of Original,Digital Image,Cert. of No Record"</formula1>
    </dataValidation>
    <dataValidation type="list" allowBlank="1" showInputMessage="1" showErrorMessage="1" sqref="L14:L143" xr:uid="{A66AE4B1-3CDA-4BBE-A15D-1892D51F37DD}">
      <formula1>"- Please Select -,Company ID, Passport, SSRB, NBI, SSS, Marriage Contract, Birth Certificate,Authorization,Special Power of Attorney,Letter Request,Others"</formula1>
    </dataValidation>
    <dataValidation type="list" allowBlank="1" showInputMessage="1" showErrorMessage="1" sqref="K14:K143" xr:uid="{98A3C4E7-A733-4C98-B009-F0ECA25C4235}">
      <formula1>"- Please Select -,Information Sheet,OEC,Employment Contract (Name-Hire or GPB Only)"</formula1>
    </dataValidation>
    <dataValidation type="list" allowBlank="1" showInputMessage="1" showErrorMessage="1" sqref="D14:D143" xr:uid="{65F06881-58DD-4E24-9F35-C2786204692B}">
      <formula1>"- Please Select -,Male,Female"</formula1>
    </dataValidation>
    <dataValidation type="list" allowBlank="1" showInputMessage="1" showErrorMessage="1" sqref="I14:I143" xr:uid="{B463C0F0-1DF7-41E4-93F8-46F6BBD3927A}">
      <formula1>"- Please Select -,Landbased (Newhire),Rehire (Balik Manggagawa),Seafarer"</formula1>
    </dataValidation>
    <dataValidation type="list" allowBlank="1" showInputMessage="1" showErrorMessage="1" sqref="G14:G143" xr:uid="{F2DA8761-A1C8-41F3-AAEC-3916710AA89B}">
      <formula1>"- Please Select -,Employment,OWWA,Legal,Loan,VISA,Balik Manggagawa,Reduced Travel Tax,Philhealth,Others"</formula1>
    </dataValidation>
  </dataValidations>
  <pageMargins left="0.25" right="0.25" top="0.75" bottom="0.75" header="0.3" footer="0.3"/>
  <pageSetup scale="3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DATE</vt:lpstr>
      <vt:lpstr>SUMMARY!Print_Area</vt:lpstr>
      <vt:lpstr>DATE!Print_Titles</vt:lpstr>
      <vt:lpstr>SUMMARY!Print_Titles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B. Briz</dc:creator>
  <cp:lastModifiedBy>Admin</cp:lastModifiedBy>
  <cp:lastPrinted>2024-03-20T23:38:40Z</cp:lastPrinted>
  <dcterms:created xsi:type="dcterms:W3CDTF">2018-07-01T20:27:00Z</dcterms:created>
  <dcterms:modified xsi:type="dcterms:W3CDTF">2025-02-28T08:48:31Z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DAEA4B2355AD4453B0CFEC11E2D8AF1A</vt:lpwstr>
  </property>
  <property fmtid="{D5CDD505-2E9C-101B-9397-08002B2CF9AE}" pid="3" name="KSOProductBuildVer">
    <vt:lpwstr>1033-12.2.0.13201</vt:lpwstr>
  </property>
</Properties>
</file>